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 firstSheet="6" activeTab="8"/>
  </bookViews>
  <sheets>
    <sheet name="Conversion rates" sheetId="4" r:id="rId1"/>
    <sheet name="Average TAT" sheetId="5" r:id="rId2"/>
    <sheet name="Lead Breakdown" sheetId="6" r:id="rId3"/>
    <sheet name="Sheet3" sheetId="17" r:id="rId4"/>
    <sheet name="Main data" sheetId="1" r:id="rId5"/>
    <sheet name="Cancellation Patterns" sheetId="7" r:id="rId6"/>
    <sheet name="NPS Calculation" sheetId="8" r:id="rId7"/>
    <sheet name="Sheet2" sheetId="16" r:id="rId8"/>
    <sheet name="Dashboard" sheetId="2" r:id="rId9"/>
  </sheets>
  <definedNames>
    <definedName name="_xlnm._FilterDatabase" localSheetId="4" hidden="1">'Main data'!$A$1:$R$1001</definedName>
    <definedName name="Slicer_Store_Name">#N/A</definedName>
    <definedName name="Slicer_Lead_Type">#N/A</definedName>
    <definedName name="Slicer_Lead_Status">#N/A</definedName>
  </definedNames>
  <calcPr calcId="191029"/>
  <pivotCaches>
    <pivotCache cacheId="0" r:id="rId10"/>
    <pivotCache cacheId="1" r:id="rId11"/>
  </pivotCaches>
  <extLst>
    <ext xmlns:x14="http://schemas.microsoft.com/office/spreadsheetml/2009/9/main" uri="{BBE1A952-AA13-448e-AADC-164F8A28A991}">
      <x14:slicerCaches>
        <x14:slicerCache r:id="rId14"/>
        <x14:slicerCache r:id="rId13"/>
        <x14:slicerCache r:id="rId12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<sst xmlns="http://schemas.openxmlformats.org/spreadsheetml/2006/main" count="4389" uniqueCount="1058">
  <si>
    <t>Count of Lead ID</t>
  </si>
  <si>
    <t>Lead Status</t>
  </si>
  <si>
    <t>Cancellation Status</t>
  </si>
  <si>
    <t>Delivered</t>
  </si>
  <si>
    <t>Delivered Total</t>
  </si>
  <si>
    <t>Cancelled</t>
  </si>
  <si>
    <t>Cancelled Total</t>
  </si>
  <si>
    <t>Grand Total</t>
  </si>
  <si>
    <t>Store Name</t>
  </si>
  <si>
    <t>No</t>
  </si>
  <si>
    <t>Yes</t>
  </si>
  <si>
    <t>Bangalore MBC</t>
  </si>
  <si>
    <t>Chennai MBC</t>
  </si>
  <si>
    <t>Delhi MBC</t>
  </si>
  <si>
    <t>Mumbai MBC</t>
  </si>
  <si>
    <t>Avg of Pre-booking TAT (days)</t>
  </si>
  <si>
    <t>Avg of Booking TAT (days)</t>
  </si>
  <si>
    <t>Avg of Delivery TAT (days)</t>
  </si>
  <si>
    <r>
      <rPr>
        <b/>
        <sz val="12"/>
        <color theme="0"/>
        <rFont val="Calibri"/>
        <charset val="134"/>
      </rPr>
      <t xml:space="preserve">Breakdown of </t>
    </r>
    <r>
      <rPr>
        <b/>
        <sz val="12"/>
        <color theme="0"/>
        <rFont val="Calibri-Bold"/>
        <charset val="134"/>
      </rPr>
      <t xml:space="preserve">Hot/Warm/Cold </t>
    </r>
    <r>
      <rPr>
        <b/>
        <sz val="12"/>
        <color theme="0"/>
        <rFont val="Calibri"/>
        <charset val="134"/>
      </rPr>
      <t>leads</t>
    </r>
  </si>
  <si>
    <t>Lead Type</t>
  </si>
  <si>
    <t>Cold</t>
  </si>
  <si>
    <t>Hot</t>
  </si>
  <si>
    <t>Warm</t>
  </si>
  <si>
    <t>Count of Leads</t>
  </si>
  <si>
    <t>Lead ID</t>
  </si>
  <si>
    <t>Lead Date</t>
  </si>
  <si>
    <t>Pre-Booking Date</t>
  </si>
  <si>
    <t>Booking Date</t>
  </si>
  <si>
    <t>Delivery Date</t>
  </si>
  <si>
    <t>Pre-booking TAT (days)</t>
  </si>
  <si>
    <t>Booking TAT (days)</t>
  </si>
  <si>
    <t>Delivery TAT (days)</t>
  </si>
  <si>
    <t>Cancellation Reason</t>
  </si>
  <si>
    <t>Service Follow-up Date</t>
  </si>
  <si>
    <t>TAT Pre-Booking (Days)</t>
  </si>
  <si>
    <t>TAT Booking (Days)</t>
  </si>
  <si>
    <t>TAT Delivery (Days)</t>
  </si>
  <si>
    <t>Customer Rating</t>
  </si>
  <si>
    <t>NPS</t>
  </si>
  <si>
    <t>L1000</t>
  </si>
  <si>
    <t>L1001</t>
  </si>
  <si>
    <t>L1002</t>
  </si>
  <si>
    <t>Other</t>
  </si>
  <si>
    <t>L1003</t>
  </si>
  <si>
    <t>Model Unavailable</t>
  </si>
  <si>
    <t>L1004</t>
  </si>
  <si>
    <t>L1005</t>
  </si>
  <si>
    <t>L1006</t>
  </si>
  <si>
    <t>L1007</t>
  </si>
  <si>
    <t>Changed Mind</t>
  </si>
  <si>
    <t>L1008</t>
  </si>
  <si>
    <t>L1009</t>
  </si>
  <si>
    <t>L1010</t>
  </si>
  <si>
    <t>L1011</t>
  </si>
  <si>
    <t>L1012</t>
  </si>
  <si>
    <t>L1013</t>
  </si>
  <si>
    <t>L1014</t>
  </si>
  <si>
    <t>L1015</t>
  </si>
  <si>
    <t>L1016</t>
  </si>
  <si>
    <t>L1017</t>
  </si>
  <si>
    <t>L1018</t>
  </si>
  <si>
    <t>L1019</t>
  </si>
  <si>
    <t>L1020</t>
  </si>
  <si>
    <t>L1021</t>
  </si>
  <si>
    <t>L1022</t>
  </si>
  <si>
    <t>L1023</t>
  </si>
  <si>
    <t>L1024</t>
  </si>
  <si>
    <t>L1025</t>
  </si>
  <si>
    <t>L1026</t>
  </si>
  <si>
    <t>L1027</t>
  </si>
  <si>
    <t>L1028</t>
  </si>
  <si>
    <t>L1029</t>
  </si>
  <si>
    <t>L1030</t>
  </si>
  <si>
    <t>L1031</t>
  </si>
  <si>
    <t>L1032</t>
  </si>
  <si>
    <t>L1033</t>
  </si>
  <si>
    <t>L1034</t>
  </si>
  <si>
    <t>L1035</t>
  </si>
  <si>
    <t>L1036</t>
  </si>
  <si>
    <t>Financing Issue</t>
  </si>
  <si>
    <t>L1037</t>
  </si>
  <si>
    <t>L1038</t>
  </si>
  <si>
    <t>L1039</t>
  </si>
  <si>
    <t>L1040</t>
  </si>
  <si>
    <t>L1041</t>
  </si>
  <si>
    <t>L1042</t>
  </si>
  <si>
    <t>L1043</t>
  </si>
  <si>
    <t>L1044</t>
  </si>
  <si>
    <t>L1045</t>
  </si>
  <si>
    <t>L1046</t>
  </si>
  <si>
    <t>L1047</t>
  </si>
  <si>
    <t>L1048</t>
  </si>
  <si>
    <t>L1049</t>
  </si>
  <si>
    <t>L1050</t>
  </si>
  <si>
    <t>L1051</t>
  </si>
  <si>
    <t>L1052</t>
  </si>
  <si>
    <t>L1053</t>
  </si>
  <si>
    <t>L1054</t>
  </si>
  <si>
    <t>L1055</t>
  </si>
  <si>
    <t>L1056</t>
  </si>
  <si>
    <t>L1057</t>
  </si>
  <si>
    <t>L1058</t>
  </si>
  <si>
    <t>L1059</t>
  </si>
  <si>
    <t>L1060</t>
  </si>
  <si>
    <t>L1061</t>
  </si>
  <si>
    <t>L1062</t>
  </si>
  <si>
    <t>L1063</t>
  </si>
  <si>
    <t>L1064</t>
  </si>
  <si>
    <t>L1065</t>
  </si>
  <si>
    <t>L1066</t>
  </si>
  <si>
    <t>L1067</t>
  </si>
  <si>
    <t>L1068</t>
  </si>
  <si>
    <t>L1069</t>
  </si>
  <si>
    <t>L1070</t>
  </si>
  <si>
    <t>L1071</t>
  </si>
  <si>
    <t>L1072</t>
  </si>
  <si>
    <t>L1073</t>
  </si>
  <si>
    <t>Price</t>
  </si>
  <si>
    <t>L1074</t>
  </si>
  <si>
    <t>L1075</t>
  </si>
  <si>
    <t>L1076</t>
  </si>
  <si>
    <t>L1077</t>
  </si>
  <si>
    <t>L1078</t>
  </si>
  <si>
    <t>L1079</t>
  </si>
  <si>
    <t>L1080</t>
  </si>
  <si>
    <t>L1081</t>
  </si>
  <si>
    <t>L1082</t>
  </si>
  <si>
    <t>L1083</t>
  </si>
  <si>
    <t>L1084</t>
  </si>
  <si>
    <t>L1085</t>
  </si>
  <si>
    <t>L1086</t>
  </si>
  <si>
    <t>L1087</t>
  </si>
  <si>
    <t>L1088</t>
  </si>
  <si>
    <t>L1089</t>
  </si>
  <si>
    <t>L1090</t>
  </si>
  <si>
    <t>L1091</t>
  </si>
  <si>
    <t>L1092</t>
  </si>
  <si>
    <t>L1093</t>
  </si>
  <si>
    <t>L1094</t>
  </si>
  <si>
    <t>L1095</t>
  </si>
  <si>
    <t>L1096</t>
  </si>
  <si>
    <t>L1097</t>
  </si>
  <si>
    <t>L1098</t>
  </si>
  <si>
    <t>L1099</t>
  </si>
  <si>
    <t>L1100</t>
  </si>
  <si>
    <t>L1101</t>
  </si>
  <si>
    <t>L1102</t>
  </si>
  <si>
    <t>L1103</t>
  </si>
  <si>
    <t>L1104</t>
  </si>
  <si>
    <t>L1105</t>
  </si>
  <si>
    <t>L1106</t>
  </si>
  <si>
    <t>L1107</t>
  </si>
  <si>
    <t>L1108</t>
  </si>
  <si>
    <t>L1109</t>
  </si>
  <si>
    <t>L1110</t>
  </si>
  <si>
    <t>L1111</t>
  </si>
  <si>
    <t>L1112</t>
  </si>
  <si>
    <t>L1113</t>
  </si>
  <si>
    <t>L1114</t>
  </si>
  <si>
    <t>L1115</t>
  </si>
  <si>
    <t>L1116</t>
  </si>
  <si>
    <t>L1117</t>
  </si>
  <si>
    <t>L1118</t>
  </si>
  <si>
    <t>L1119</t>
  </si>
  <si>
    <t>L1120</t>
  </si>
  <si>
    <t>L1121</t>
  </si>
  <si>
    <t>L1122</t>
  </si>
  <si>
    <t>L1123</t>
  </si>
  <si>
    <t>L1124</t>
  </si>
  <si>
    <t>L1125</t>
  </si>
  <si>
    <t>L1126</t>
  </si>
  <si>
    <t>L1127</t>
  </si>
  <si>
    <t>L1128</t>
  </si>
  <si>
    <t>L1129</t>
  </si>
  <si>
    <t>L1130</t>
  </si>
  <si>
    <t>L1131</t>
  </si>
  <si>
    <t>L1132</t>
  </si>
  <si>
    <t>L1133</t>
  </si>
  <si>
    <t>L1134</t>
  </si>
  <si>
    <t>L1135</t>
  </si>
  <si>
    <t>L1136</t>
  </si>
  <si>
    <t>L1137</t>
  </si>
  <si>
    <t>L1138</t>
  </si>
  <si>
    <t>L1139</t>
  </si>
  <si>
    <t>L1140</t>
  </si>
  <si>
    <t>L1141</t>
  </si>
  <si>
    <t>L1142</t>
  </si>
  <si>
    <t>L1143</t>
  </si>
  <si>
    <t>L1144</t>
  </si>
  <si>
    <t>L1145</t>
  </si>
  <si>
    <t>L1146</t>
  </si>
  <si>
    <t>L1147</t>
  </si>
  <si>
    <t>L1148</t>
  </si>
  <si>
    <t>L1149</t>
  </si>
  <si>
    <t>L1150</t>
  </si>
  <si>
    <t>L1151</t>
  </si>
  <si>
    <t>L1152</t>
  </si>
  <si>
    <t>L1153</t>
  </si>
  <si>
    <t>L1154</t>
  </si>
  <si>
    <t>L1155</t>
  </si>
  <si>
    <t>L1156</t>
  </si>
  <si>
    <t>L1157</t>
  </si>
  <si>
    <t>L1158</t>
  </si>
  <si>
    <t>L1159</t>
  </si>
  <si>
    <t>L1160</t>
  </si>
  <si>
    <t>L1161</t>
  </si>
  <si>
    <t>L1162</t>
  </si>
  <si>
    <t>L1163</t>
  </si>
  <si>
    <t>L1164</t>
  </si>
  <si>
    <t>L1165</t>
  </si>
  <si>
    <t>L1166</t>
  </si>
  <si>
    <t>L1167</t>
  </si>
  <si>
    <t>L1168</t>
  </si>
  <si>
    <t>L1169</t>
  </si>
  <si>
    <t>L1170</t>
  </si>
  <si>
    <t>L1171</t>
  </si>
  <si>
    <t>L1172</t>
  </si>
  <si>
    <t>L1173</t>
  </si>
  <si>
    <t>L1174</t>
  </si>
  <si>
    <t>L1175</t>
  </si>
  <si>
    <t>L1176</t>
  </si>
  <si>
    <t>L1177</t>
  </si>
  <si>
    <t>L1178</t>
  </si>
  <si>
    <t>L1179</t>
  </si>
  <si>
    <t>L1180</t>
  </si>
  <si>
    <t>L1181</t>
  </si>
  <si>
    <t>L1182</t>
  </si>
  <si>
    <t>L1183</t>
  </si>
  <si>
    <t>L1184</t>
  </si>
  <si>
    <t>L1185</t>
  </si>
  <si>
    <t>L1186</t>
  </si>
  <si>
    <t>L1187</t>
  </si>
  <si>
    <t>L1188</t>
  </si>
  <si>
    <t>L1189</t>
  </si>
  <si>
    <t>L1190</t>
  </si>
  <si>
    <t>L1191</t>
  </si>
  <si>
    <t>L1192</t>
  </si>
  <si>
    <t>L1193</t>
  </si>
  <si>
    <t>L1194</t>
  </si>
  <si>
    <t>L1195</t>
  </si>
  <si>
    <t>L1196</t>
  </si>
  <si>
    <t>L1197</t>
  </si>
  <si>
    <t>L1198</t>
  </si>
  <si>
    <t>L1199</t>
  </si>
  <si>
    <t>L1200</t>
  </si>
  <si>
    <t>L1201</t>
  </si>
  <si>
    <t>L1202</t>
  </si>
  <si>
    <t>L1203</t>
  </si>
  <si>
    <t>L1204</t>
  </si>
  <si>
    <t>L1205</t>
  </si>
  <si>
    <t>L1206</t>
  </si>
  <si>
    <t>L1207</t>
  </si>
  <si>
    <t>L1208</t>
  </si>
  <si>
    <t>L1209</t>
  </si>
  <si>
    <t>L1210</t>
  </si>
  <si>
    <t>L1211</t>
  </si>
  <si>
    <t>L1212</t>
  </si>
  <si>
    <t>L1213</t>
  </si>
  <si>
    <t>L1214</t>
  </si>
  <si>
    <t>L1215</t>
  </si>
  <si>
    <t>L1216</t>
  </si>
  <si>
    <t>L1217</t>
  </si>
  <si>
    <t>L1218</t>
  </si>
  <si>
    <t>L1219</t>
  </si>
  <si>
    <t>L1220</t>
  </si>
  <si>
    <t>L1221</t>
  </si>
  <si>
    <t>L1222</t>
  </si>
  <si>
    <t>L1223</t>
  </si>
  <si>
    <t>L1224</t>
  </si>
  <si>
    <t>L1225</t>
  </si>
  <si>
    <t>L1226</t>
  </si>
  <si>
    <t>L1227</t>
  </si>
  <si>
    <t>L1228</t>
  </si>
  <si>
    <t>L1229</t>
  </si>
  <si>
    <t>L1230</t>
  </si>
  <si>
    <t>L1231</t>
  </si>
  <si>
    <t>L1232</t>
  </si>
  <si>
    <t>L1233</t>
  </si>
  <si>
    <t>L1234</t>
  </si>
  <si>
    <t>L1235</t>
  </si>
  <si>
    <t>L1236</t>
  </si>
  <si>
    <t>L1237</t>
  </si>
  <si>
    <t>L1238</t>
  </si>
  <si>
    <t>L1239</t>
  </si>
  <si>
    <t>L1240</t>
  </si>
  <si>
    <t>L1241</t>
  </si>
  <si>
    <t>L1242</t>
  </si>
  <si>
    <t>L1243</t>
  </si>
  <si>
    <t>L1244</t>
  </si>
  <si>
    <t>L1245</t>
  </si>
  <si>
    <t>L1246</t>
  </si>
  <si>
    <t>L1247</t>
  </si>
  <si>
    <t>L1248</t>
  </si>
  <si>
    <t>L1249</t>
  </si>
  <si>
    <t>L1250</t>
  </si>
  <si>
    <t>L1251</t>
  </si>
  <si>
    <t>L1252</t>
  </si>
  <si>
    <t>L1253</t>
  </si>
  <si>
    <t>L1254</t>
  </si>
  <si>
    <t>L1255</t>
  </si>
  <si>
    <t>L1256</t>
  </si>
  <si>
    <t>L1257</t>
  </si>
  <si>
    <t>L1258</t>
  </si>
  <si>
    <t>L1259</t>
  </si>
  <si>
    <t>L1260</t>
  </si>
  <si>
    <t>L1261</t>
  </si>
  <si>
    <t>L1262</t>
  </si>
  <si>
    <t>L1263</t>
  </si>
  <si>
    <t>L1264</t>
  </si>
  <si>
    <t>L1265</t>
  </si>
  <si>
    <t>L1266</t>
  </si>
  <si>
    <t>L1267</t>
  </si>
  <si>
    <t>L1268</t>
  </si>
  <si>
    <t>L1269</t>
  </si>
  <si>
    <t>L1270</t>
  </si>
  <si>
    <t>L1271</t>
  </si>
  <si>
    <t>L1272</t>
  </si>
  <si>
    <t>L1273</t>
  </si>
  <si>
    <t>L1274</t>
  </si>
  <si>
    <t>L1275</t>
  </si>
  <si>
    <t>L1276</t>
  </si>
  <si>
    <t>L1277</t>
  </si>
  <si>
    <t>L1278</t>
  </si>
  <si>
    <t>L1279</t>
  </si>
  <si>
    <t>L1280</t>
  </si>
  <si>
    <t>L1281</t>
  </si>
  <si>
    <t>L1282</t>
  </si>
  <si>
    <t>L1283</t>
  </si>
  <si>
    <t>L1284</t>
  </si>
  <si>
    <t>L1285</t>
  </si>
  <si>
    <t>L1286</t>
  </si>
  <si>
    <t>L1287</t>
  </si>
  <si>
    <t>L1288</t>
  </si>
  <si>
    <t>L1289</t>
  </si>
  <si>
    <t>L1290</t>
  </si>
  <si>
    <t>L1291</t>
  </si>
  <si>
    <t>L1292</t>
  </si>
  <si>
    <t>L1293</t>
  </si>
  <si>
    <t>L1294</t>
  </si>
  <si>
    <t>L1295</t>
  </si>
  <si>
    <t>L1296</t>
  </si>
  <si>
    <t>L1297</t>
  </si>
  <si>
    <t>L1298</t>
  </si>
  <si>
    <t>L1299</t>
  </si>
  <si>
    <t>L1300</t>
  </si>
  <si>
    <t>L1301</t>
  </si>
  <si>
    <t>L1302</t>
  </si>
  <si>
    <t>L1303</t>
  </si>
  <si>
    <t>L1304</t>
  </si>
  <si>
    <t>L1305</t>
  </si>
  <si>
    <t>L1306</t>
  </si>
  <si>
    <t>L1307</t>
  </si>
  <si>
    <t>L1308</t>
  </si>
  <si>
    <t>L1309</t>
  </si>
  <si>
    <t>L1310</t>
  </si>
  <si>
    <t>L1311</t>
  </si>
  <si>
    <t>L1312</t>
  </si>
  <si>
    <t>L1313</t>
  </si>
  <si>
    <t>L1314</t>
  </si>
  <si>
    <t>L1315</t>
  </si>
  <si>
    <t>L1316</t>
  </si>
  <si>
    <t>L1317</t>
  </si>
  <si>
    <t>L1318</t>
  </si>
  <si>
    <t>L1319</t>
  </si>
  <si>
    <t>L1320</t>
  </si>
  <si>
    <t>L1321</t>
  </si>
  <si>
    <t>L1322</t>
  </si>
  <si>
    <t>L1323</t>
  </si>
  <si>
    <t>L1324</t>
  </si>
  <si>
    <t>L1325</t>
  </si>
  <si>
    <t>L1326</t>
  </si>
  <si>
    <t>L1327</t>
  </si>
  <si>
    <t>L1328</t>
  </si>
  <si>
    <t>L1329</t>
  </si>
  <si>
    <t>L1330</t>
  </si>
  <si>
    <t>L1331</t>
  </si>
  <si>
    <t>L1332</t>
  </si>
  <si>
    <t>L1333</t>
  </si>
  <si>
    <t>L1334</t>
  </si>
  <si>
    <t>L1335</t>
  </si>
  <si>
    <t>L1336</t>
  </si>
  <si>
    <t>L1337</t>
  </si>
  <si>
    <t>L1338</t>
  </si>
  <si>
    <t>L1339</t>
  </si>
  <si>
    <t>L1340</t>
  </si>
  <si>
    <t>L1341</t>
  </si>
  <si>
    <t>L1342</t>
  </si>
  <si>
    <t>L1343</t>
  </si>
  <si>
    <t>L1344</t>
  </si>
  <si>
    <t>L1345</t>
  </si>
  <si>
    <t>L1346</t>
  </si>
  <si>
    <t>L1347</t>
  </si>
  <si>
    <t>L1348</t>
  </si>
  <si>
    <t>L1349</t>
  </si>
  <si>
    <t>L1350</t>
  </si>
  <si>
    <t>L1351</t>
  </si>
  <si>
    <t>L1352</t>
  </si>
  <si>
    <t>L1353</t>
  </si>
  <si>
    <t>L1354</t>
  </si>
  <si>
    <t>L1355</t>
  </si>
  <si>
    <t>L1356</t>
  </si>
  <si>
    <t>L1357</t>
  </si>
  <si>
    <t>L1358</t>
  </si>
  <si>
    <t>L1359</t>
  </si>
  <si>
    <t>L1360</t>
  </si>
  <si>
    <t>L1361</t>
  </si>
  <si>
    <t>L1362</t>
  </si>
  <si>
    <t>L1363</t>
  </si>
  <si>
    <t>L1364</t>
  </si>
  <si>
    <t>L1365</t>
  </si>
  <si>
    <t>L1366</t>
  </si>
  <si>
    <t>L1367</t>
  </si>
  <si>
    <t>L1368</t>
  </si>
  <si>
    <t>L1369</t>
  </si>
  <si>
    <t>L1370</t>
  </si>
  <si>
    <t>L1371</t>
  </si>
  <si>
    <t>L1372</t>
  </si>
  <si>
    <t>L1373</t>
  </si>
  <si>
    <t>L1374</t>
  </si>
  <si>
    <t>L1375</t>
  </si>
  <si>
    <t>L1376</t>
  </si>
  <si>
    <t>L1377</t>
  </si>
  <si>
    <t>L1378</t>
  </si>
  <si>
    <t>L1379</t>
  </si>
  <si>
    <t>L1380</t>
  </si>
  <si>
    <t>L1381</t>
  </si>
  <si>
    <t>L1382</t>
  </si>
  <si>
    <t>L1383</t>
  </si>
  <si>
    <t>L1384</t>
  </si>
  <si>
    <t>L1385</t>
  </si>
  <si>
    <t>L1386</t>
  </si>
  <si>
    <t>L1387</t>
  </si>
  <si>
    <t>L1388</t>
  </si>
  <si>
    <t>L1389</t>
  </si>
  <si>
    <t>L1390</t>
  </si>
  <si>
    <t>L1391</t>
  </si>
  <si>
    <t>L1392</t>
  </si>
  <si>
    <t>L1393</t>
  </si>
  <si>
    <t>L1394</t>
  </si>
  <si>
    <t>L1395</t>
  </si>
  <si>
    <t>L1396</t>
  </si>
  <si>
    <t>L1397</t>
  </si>
  <si>
    <t>L1398</t>
  </si>
  <si>
    <t>L1399</t>
  </si>
  <si>
    <t>L1400</t>
  </si>
  <si>
    <t>L1401</t>
  </si>
  <si>
    <t>L1402</t>
  </si>
  <si>
    <t>L1403</t>
  </si>
  <si>
    <t>L1404</t>
  </si>
  <si>
    <t>L1405</t>
  </si>
  <si>
    <t>L1406</t>
  </si>
  <si>
    <t>L1407</t>
  </si>
  <si>
    <t>L1408</t>
  </si>
  <si>
    <t>L1409</t>
  </si>
  <si>
    <t>L1410</t>
  </si>
  <si>
    <t>L1411</t>
  </si>
  <si>
    <t>L1412</t>
  </si>
  <si>
    <t>L1413</t>
  </si>
  <si>
    <t>L1414</t>
  </si>
  <si>
    <t>L1415</t>
  </si>
  <si>
    <t>L1416</t>
  </si>
  <si>
    <t>L1417</t>
  </si>
  <si>
    <t>L1418</t>
  </si>
  <si>
    <t>L1419</t>
  </si>
  <si>
    <t>L1420</t>
  </si>
  <si>
    <t>L1421</t>
  </si>
  <si>
    <t>L1422</t>
  </si>
  <si>
    <t>L1423</t>
  </si>
  <si>
    <t>L1424</t>
  </si>
  <si>
    <t>L1425</t>
  </si>
  <si>
    <t>L1426</t>
  </si>
  <si>
    <t>L1427</t>
  </si>
  <si>
    <t>L1428</t>
  </si>
  <si>
    <t>L1429</t>
  </si>
  <si>
    <t>L1430</t>
  </si>
  <si>
    <t>L1431</t>
  </si>
  <si>
    <t>L1432</t>
  </si>
  <si>
    <t>L1433</t>
  </si>
  <si>
    <t>L1434</t>
  </si>
  <si>
    <t>L1435</t>
  </si>
  <si>
    <t>L1436</t>
  </si>
  <si>
    <t>L1437</t>
  </si>
  <si>
    <t>L1438</t>
  </si>
  <si>
    <t>L1439</t>
  </si>
  <si>
    <t>L1440</t>
  </si>
  <si>
    <t>L1441</t>
  </si>
  <si>
    <t>L1442</t>
  </si>
  <si>
    <t>L1443</t>
  </si>
  <si>
    <t>L1444</t>
  </si>
  <si>
    <t>L1445</t>
  </si>
  <si>
    <t>L1446</t>
  </si>
  <si>
    <t>L1447</t>
  </si>
  <si>
    <t>L1448</t>
  </si>
  <si>
    <t>L1449</t>
  </si>
  <si>
    <t>L1450</t>
  </si>
  <si>
    <t>L1451</t>
  </si>
  <si>
    <t>L1452</t>
  </si>
  <si>
    <t>L1453</t>
  </si>
  <si>
    <t>L1454</t>
  </si>
  <si>
    <t>L1455</t>
  </si>
  <si>
    <t>L1456</t>
  </si>
  <si>
    <t>L1457</t>
  </si>
  <si>
    <t>L1458</t>
  </si>
  <si>
    <t>L1459</t>
  </si>
  <si>
    <t>L1460</t>
  </si>
  <si>
    <t>L1461</t>
  </si>
  <si>
    <t>L1462</t>
  </si>
  <si>
    <t>L1463</t>
  </si>
  <si>
    <t>L1464</t>
  </si>
  <si>
    <t>L1465</t>
  </si>
  <si>
    <t>L1466</t>
  </si>
  <si>
    <t>L1467</t>
  </si>
  <si>
    <t>L1468</t>
  </si>
  <si>
    <t>L1469</t>
  </si>
  <si>
    <t>L1470</t>
  </si>
  <si>
    <t>L1471</t>
  </si>
  <si>
    <t>L1472</t>
  </si>
  <si>
    <t>L1473</t>
  </si>
  <si>
    <t>L1474</t>
  </si>
  <si>
    <t>L1475</t>
  </si>
  <si>
    <t>L1476</t>
  </si>
  <si>
    <t>L1477</t>
  </si>
  <si>
    <t>L1478</t>
  </si>
  <si>
    <t>L1479</t>
  </si>
  <si>
    <t>L1480</t>
  </si>
  <si>
    <t>L1481</t>
  </si>
  <si>
    <t>L1482</t>
  </si>
  <si>
    <t>L1483</t>
  </si>
  <si>
    <t>L1484</t>
  </si>
  <si>
    <t>L1485</t>
  </si>
  <si>
    <t>L1486</t>
  </si>
  <si>
    <t>L1487</t>
  </si>
  <si>
    <t>L1488</t>
  </si>
  <si>
    <t>L1489</t>
  </si>
  <si>
    <t>L1490</t>
  </si>
  <si>
    <t>L1491</t>
  </si>
  <si>
    <t>L1492</t>
  </si>
  <si>
    <t>L1493</t>
  </si>
  <si>
    <t>L1494</t>
  </si>
  <si>
    <t>L1495</t>
  </si>
  <si>
    <t>L1496</t>
  </si>
  <si>
    <t>L1497</t>
  </si>
  <si>
    <t>L1498</t>
  </si>
  <si>
    <t>L1499</t>
  </si>
  <si>
    <t>L1500</t>
  </si>
  <si>
    <t>L1501</t>
  </si>
  <si>
    <t>L1502</t>
  </si>
  <si>
    <t>L1503</t>
  </si>
  <si>
    <t>L1504</t>
  </si>
  <si>
    <t>L1505</t>
  </si>
  <si>
    <t>L1506</t>
  </si>
  <si>
    <t>L1507</t>
  </si>
  <si>
    <t>L1508</t>
  </si>
  <si>
    <t>L1509</t>
  </si>
  <si>
    <t>L1510</t>
  </si>
  <si>
    <t>L1511</t>
  </si>
  <si>
    <t>L1512</t>
  </si>
  <si>
    <t>L1513</t>
  </si>
  <si>
    <t>L1514</t>
  </si>
  <si>
    <t>L1515</t>
  </si>
  <si>
    <t>L1516</t>
  </si>
  <si>
    <t>L1517</t>
  </si>
  <si>
    <t>L1518</t>
  </si>
  <si>
    <t>L1519</t>
  </si>
  <si>
    <t>L1520</t>
  </si>
  <si>
    <t>L1521</t>
  </si>
  <si>
    <t>L1522</t>
  </si>
  <si>
    <t>L1523</t>
  </si>
  <si>
    <t>L1524</t>
  </si>
  <si>
    <t>L1525</t>
  </si>
  <si>
    <t>L1526</t>
  </si>
  <si>
    <t>L1527</t>
  </si>
  <si>
    <t>L1528</t>
  </si>
  <si>
    <t>L1529</t>
  </si>
  <si>
    <t>L1530</t>
  </si>
  <si>
    <t>L1531</t>
  </si>
  <si>
    <t>L1532</t>
  </si>
  <si>
    <t>L1533</t>
  </si>
  <si>
    <t>L1534</t>
  </si>
  <si>
    <t>L1535</t>
  </si>
  <si>
    <t>L1536</t>
  </si>
  <si>
    <t>L1537</t>
  </si>
  <si>
    <t>L1538</t>
  </si>
  <si>
    <t>L1539</t>
  </si>
  <si>
    <t>L1540</t>
  </si>
  <si>
    <t>L1541</t>
  </si>
  <si>
    <t>L1542</t>
  </si>
  <si>
    <t>L1543</t>
  </si>
  <si>
    <t>L1544</t>
  </si>
  <si>
    <t>L1545</t>
  </si>
  <si>
    <t>L1546</t>
  </si>
  <si>
    <t>L1547</t>
  </si>
  <si>
    <t>L1548</t>
  </si>
  <si>
    <t>L1549</t>
  </si>
  <si>
    <t>L1550</t>
  </si>
  <si>
    <t>L1551</t>
  </si>
  <si>
    <t>L1552</t>
  </si>
  <si>
    <t>L1553</t>
  </si>
  <si>
    <t>L1554</t>
  </si>
  <si>
    <t>L1555</t>
  </si>
  <si>
    <t>L1556</t>
  </si>
  <si>
    <t>L1557</t>
  </si>
  <si>
    <t>L1558</t>
  </si>
  <si>
    <t>L1559</t>
  </si>
  <si>
    <t>L1560</t>
  </si>
  <si>
    <t>L1561</t>
  </si>
  <si>
    <t>L1562</t>
  </si>
  <si>
    <t>L1563</t>
  </si>
  <si>
    <t>L1564</t>
  </si>
  <si>
    <t>L1565</t>
  </si>
  <si>
    <t>L1566</t>
  </si>
  <si>
    <t>L1567</t>
  </si>
  <si>
    <t>L1568</t>
  </si>
  <si>
    <t>L1569</t>
  </si>
  <si>
    <t>L1570</t>
  </si>
  <si>
    <t>L1571</t>
  </si>
  <si>
    <t>L1572</t>
  </si>
  <si>
    <t>L1573</t>
  </si>
  <si>
    <t>L1574</t>
  </si>
  <si>
    <t>L1575</t>
  </si>
  <si>
    <t>L1576</t>
  </si>
  <si>
    <t>L1577</t>
  </si>
  <si>
    <t>L1578</t>
  </si>
  <si>
    <t>L1579</t>
  </si>
  <si>
    <t>L1580</t>
  </si>
  <si>
    <t>L1581</t>
  </si>
  <si>
    <t>L1582</t>
  </si>
  <si>
    <t>L1583</t>
  </si>
  <si>
    <t>L1584</t>
  </si>
  <si>
    <t>L1585</t>
  </si>
  <si>
    <t>L1586</t>
  </si>
  <si>
    <t>L1587</t>
  </si>
  <si>
    <t>L1588</t>
  </si>
  <si>
    <t>L1589</t>
  </si>
  <si>
    <t>L1590</t>
  </si>
  <si>
    <t>L1591</t>
  </si>
  <si>
    <t>L1592</t>
  </si>
  <si>
    <t>L1593</t>
  </si>
  <si>
    <t>L1594</t>
  </si>
  <si>
    <t>L1595</t>
  </si>
  <si>
    <t>L1596</t>
  </si>
  <si>
    <t>L1597</t>
  </si>
  <si>
    <t>L1598</t>
  </si>
  <si>
    <t>L1599</t>
  </si>
  <si>
    <t>L1600</t>
  </si>
  <si>
    <t>L1601</t>
  </si>
  <si>
    <t>L1602</t>
  </si>
  <si>
    <t>L1603</t>
  </si>
  <si>
    <t>L1604</t>
  </si>
  <si>
    <t>L1605</t>
  </si>
  <si>
    <t>L1606</t>
  </si>
  <si>
    <t>L1607</t>
  </si>
  <si>
    <t>L1608</t>
  </si>
  <si>
    <t>L1609</t>
  </si>
  <si>
    <t>L1610</t>
  </si>
  <si>
    <t>L1611</t>
  </si>
  <si>
    <t>L1612</t>
  </si>
  <si>
    <t>L1613</t>
  </si>
  <si>
    <t>L1614</t>
  </si>
  <si>
    <t>L1615</t>
  </si>
  <si>
    <t>L1616</t>
  </si>
  <si>
    <t>L1617</t>
  </si>
  <si>
    <t>L1618</t>
  </si>
  <si>
    <t>L1619</t>
  </si>
  <si>
    <t>L1620</t>
  </si>
  <si>
    <t>L1621</t>
  </si>
  <si>
    <t>L1622</t>
  </si>
  <si>
    <t>L1623</t>
  </si>
  <si>
    <t>L1624</t>
  </si>
  <si>
    <t>L1625</t>
  </si>
  <si>
    <t>L1626</t>
  </si>
  <si>
    <t>L1627</t>
  </si>
  <si>
    <t>L1628</t>
  </si>
  <si>
    <t>L1629</t>
  </si>
  <si>
    <t>L1630</t>
  </si>
  <si>
    <t>L1631</t>
  </si>
  <si>
    <t>L1632</t>
  </si>
  <si>
    <t>L1633</t>
  </si>
  <si>
    <t>L1634</t>
  </si>
  <si>
    <t>L1635</t>
  </si>
  <si>
    <t>L1636</t>
  </si>
  <si>
    <t>L1637</t>
  </si>
  <si>
    <t>L1638</t>
  </si>
  <si>
    <t>L1639</t>
  </si>
  <si>
    <t>L1640</t>
  </si>
  <si>
    <t>L1641</t>
  </si>
  <si>
    <t>L1642</t>
  </si>
  <si>
    <t>L1643</t>
  </si>
  <si>
    <t>L1644</t>
  </si>
  <si>
    <t>L1645</t>
  </si>
  <si>
    <t>L1646</t>
  </si>
  <si>
    <t>L1647</t>
  </si>
  <si>
    <t>L1648</t>
  </si>
  <si>
    <t>L1649</t>
  </si>
  <si>
    <t>L1650</t>
  </si>
  <si>
    <t>L1651</t>
  </si>
  <si>
    <t>L1652</t>
  </si>
  <si>
    <t>L1653</t>
  </si>
  <si>
    <t>L1654</t>
  </si>
  <si>
    <t>L1655</t>
  </si>
  <si>
    <t>L1656</t>
  </si>
  <si>
    <t>L1657</t>
  </si>
  <si>
    <t>L1658</t>
  </si>
  <si>
    <t>L1659</t>
  </si>
  <si>
    <t>L1660</t>
  </si>
  <si>
    <t>L1661</t>
  </si>
  <si>
    <t>L1662</t>
  </si>
  <si>
    <t>L1663</t>
  </si>
  <si>
    <t>L1664</t>
  </si>
  <si>
    <t>L1665</t>
  </si>
  <si>
    <t>L1666</t>
  </si>
  <si>
    <t>L1667</t>
  </si>
  <si>
    <t>L1668</t>
  </si>
  <si>
    <t>L1669</t>
  </si>
  <si>
    <t>L1670</t>
  </si>
  <si>
    <t>L1671</t>
  </si>
  <si>
    <t>L1672</t>
  </si>
  <si>
    <t>L1673</t>
  </si>
  <si>
    <t>L1674</t>
  </si>
  <si>
    <t>L1675</t>
  </si>
  <si>
    <t>L1676</t>
  </si>
  <si>
    <t>L1677</t>
  </si>
  <si>
    <t>L1678</t>
  </si>
  <si>
    <t>L1679</t>
  </si>
  <si>
    <t>L1680</t>
  </si>
  <si>
    <t>L1681</t>
  </si>
  <si>
    <t>L1682</t>
  </si>
  <si>
    <t>L1683</t>
  </si>
  <si>
    <t>L1684</t>
  </si>
  <si>
    <t>L1685</t>
  </si>
  <si>
    <t>L1686</t>
  </si>
  <si>
    <t>L1687</t>
  </si>
  <si>
    <t>L1688</t>
  </si>
  <si>
    <t>L1689</t>
  </si>
  <si>
    <t>L1690</t>
  </si>
  <si>
    <t>L1691</t>
  </si>
  <si>
    <t>L1692</t>
  </si>
  <si>
    <t>L1693</t>
  </si>
  <si>
    <t>L1694</t>
  </si>
  <si>
    <t>L1695</t>
  </si>
  <si>
    <t>L1696</t>
  </si>
  <si>
    <t>L1697</t>
  </si>
  <si>
    <t>L1698</t>
  </si>
  <si>
    <t>L1699</t>
  </si>
  <si>
    <t>L1700</t>
  </si>
  <si>
    <t>L1701</t>
  </si>
  <si>
    <t>L1702</t>
  </si>
  <si>
    <t>L1703</t>
  </si>
  <si>
    <t>L1704</t>
  </si>
  <si>
    <t>L1705</t>
  </si>
  <si>
    <t>L1706</t>
  </si>
  <si>
    <t>L1707</t>
  </si>
  <si>
    <t>L1708</t>
  </si>
  <si>
    <t>L1709</t>
  </si>
  <si>
    <t>L1710</t>
  </si>
  <si>
    <t>L1711</t>
  </si>
  <si>
    <t>L1712</t>
  </si>
  <si>
    <t>L1713</t>
  </si>
  <si>
    <t>L1714</t>
  </si>
  <si>
    <t>L1715</t>
  </si>
  <si>
    <t>L1716</t>
  </si>
  <si>
    <t>L1717</t>
  </si>
  <si>
    <t>L1718</t>
  </si>
  <si>
    <t>L1719</t>
  </si>
  <si>
    <t>L1720</t>
  </si>
  <si>
    <t>L1721</t>
  </si>
  <si>
    <t>L1722</t>
  </si>
  <si>
    <t>L1723</t>
  </si>
  <si>
    <t>L1724</t>
  </si>
  <si>
    <t>L1725</t>
  </si>
  <si>
    <t>L1726</t>
  </si>
  <si>
    <t>L1727</t>
  </si>
  <si>
    <t>L1728</t>
  </si>
  <si>
    <t>L1729</t>
  </si>
  <si>
    <t>L1730</t>
  </si>
  <si>
    <t>L1731</t>
  </si>
  <si>
    <t>L1732</t>
  </si>
  <si>
    <t>L1733</t>
  </si>
  <si>
    <t>L1734</t>
  </si>
  <si>
    <t>L1735</t>
  </si>
  <si>
    <t>L1736</t>
  </si>
  <si>
    <t>L1737</t>
  </si>
  <si>
    <t>L1738</t>
  </si>
  <si>
    <t>L1739</t>
  </si>
  <si>
    <t>L1740</t>
  </si>
  <si>
    <t>L1741</t>
  </si>
  <si>
    <t>L1742</t>
  </si>
  <si>
    <t>L1743</t>
  </si>
  <si>
    <t>L1744</t>
  </si>
  <si>
    <t>L1745</t>
  </si>
  <si>
    <t>L1746</t>
  </si>
  <si>
    <t>L1747</t>
  </si>
  <si>
    <t>L1748</t>
  </si>
  <si>
    <t>L1749</t>
  </si>
  <si>
    <t>L1750</t>
  </si>
  <si>
    <t>L1751</t>
  </si>
  <si>
    <t>L1752</t>
  </si>
  <si>
    <t>L1753</t>
  </si>
  <si>
    <t>L1754</t>
  </si>
  <si>
    <t>L1755</t>
  </si>
  <si>
    <t>L1756</t>
  </si>
  <si>
    <t>L1757</t>
  </si>
  <si>
    <t>L1758</t>
  </si>
  <si>
    <t>L1759</t>
  </si>
  <si>
    <t>L1760</t>
  </si>
  <si>
    <t>L1761</t>
  </si>
  <si>
    <t>L1762</t>
  </si>
  <si>
    <t>L1763</t>
  </si>
  <si>
    <t>L1764</t>
  </si>
  <si>
    <t>L1765</t>
  </si>
  <si>
    <t>L1766</t>
  </si>
  <si>
    <t>L1767</t>
  </si>
  <si>
    <t>L1768</t>
  </si>
  <si>
    <t>L1769</t>
  </si>
  <si>
    <t>L1770</t>
  </si>
  <si>
    <t>L1771</t>
  </si>
  <si>
    <t>L1772</t>
  </si>
  <si>
    <t>L1773</t>
  </si>
  <si>
    <t>L1774</t>
  </si>
  <si>
    <t>L1775</t>
  </si>
  <si>
    <t>L1776</t>
  </si>
  <si>
    <t>L1777</t>
  </si>
  <si>
    <t>L1778</t>
  </si>
  <si>
    <t>L1779</t>
  </si>
  <si>
    <t>L1780</t>
  </si>
  <si>
    <t>L1781</t>
  </si>
  <si>
    <t>L1782</t>
  </si>
  <si>
    <t>L1783</t>
  </si>
  <si>
    <t>L1784</t>
  </si>
  <si>
    <t>L1785</t>
  </si>
  <si>
    <t>L1786</t>
  </si>
  <si>
    <t>L1787</t>
  </si>
  <si>
    <t>L1788</t>
  </si>
  <si>
    <t>L1789</t>
  </si>
  <si>
    <t>L1790</t>
  </si>
  <si>
    <t>L1791</t>
  </si>
  <si>
    <t>L1792</t>
  </si>
  <si>
    <t>L1793</t>
  </si>
  <si>
    <t>L1794</t>
  </si>
  <si>
    <t>L1795</t>
  </si>
  <si>
    <t>L1796</t>
  </si>
  <si>
    <t>L1797</t>
  </si>
  <si>
    <t>L1798</t>
  </si>
  <si>
    <t>L1799</t>
  </si>
  <si>
    <t>L1800</t>
  </si>
  <si>
    <t>L1801</t>
  </si>
  <si>
    <t>L1802</t>
  </si>
  <si>
    <t>L1803</t>
  </si>
  <si>
    <t>L1804</t>
  </si>
  <si>
    <t>L1805</t>
  </si>
  <si>
    <t>L1806</t>
  </si>
  <si>
    <t>L1807</t>
  </si>
  <si>
    <t>L1808</t>
  </si>
  <si>
    <t>L1809</t>
  </si>
  <si>
    <t>L1810</t>
  </si>
  <si>
    <t>L1811</t>
  </si>
  <si>
    <t>L1812</t>
  </si>
  <si>
    <t>L1813</t>
  </si>
  <si>
    <t>L1814</t>
  </si>
  <si>
    <t>L1815</t>
  </si>
  <si>
    <t>L1816</t>
  </si>
  <si>
    <t>L1817</t>
  </si>
  <si>
    <t>L1818</t>
  </si>
  <si>
    <t>L1819</t>
  </si>
  <si>
    <t>L1820</t>
  </si>
  <si>
    <t>L1821</t>
  </si>
  <si>
    <t>L1822</t>
  </si>
  <si>
    <t>L1823</t>
  </si>
  <si>
    <t>L1824</t>
  </si>
  <si>
    <t>L1825</t>
  </si>
  <si>
    <t>L1826</t>
  </si>
  <si>
    <t>L1827</t>
  </si>
  <si>
    <t>L1828</t>
  </si>
  <si>
    <t>L1829</t>
  </si>
  <si>
    <t>L1830</t>
  </si>
  <si>
    <t>L1831</t>
  </si>
  <si>
    <t>L1832</t>
  </si>
  <si>
    <t>L1833</t>
  </si>
  <si>
    <t>L1834</t>
  </si>
  <si>
    <t>L1835</t>
  </si>
  <si>
    <t>L1836</t>
  </si>
  <si>
    <t>L1837</t>
  </si>
  <si>
    <t>L1838</t>
  </si>
  <si>
    <t>L1839</t>
  </si>
  <si>
    <t>L1840</t>
  </si>
  <si>
    <t>L1841</t>
  </si>
  <si>
    <t>L1842</t>
  </si>
  <si>
    <t>L1843</t>
  </si>
  <si>
    <t>L1844</t>
  </si>
  <si>
    <t>L1845</t>
  </si>
  <si>
    <t>L1846</t>
  </si>
  <si>
    <t>L1847</t>
  </si>
  <si>
    <t>L1848</t>
  </si>
  <si>
    <t>L1849</t>
  </si>
  <si>
    <t>L1850</t>
  </si>
  <si>
    <t>L1851</t>
  </si>
  <si>
    <t>L1852</t>
  </si>
  <si>
    <t>L1853</t>
  </si>
  <si>
    <t>L1854</t>
  </si>
  <si>
    <t>L1855</t>
  </si>
  <si>
    <t>L1856</t>
  </si>
  <si>
    <t>L1857</t>
  </si>
  <si>
    <t>L1858</t>
  </si>
  <si>
    <t>L1859</t>
  </si>
  <si>
    <t>L1860</t>
  </si>
  <si>
    <t>L1861</t>
  </si>
  <si>
    <t>L1862</t>
  </si>
  <si>
    <t>L1863</t>
  </si>
  <si>
    <t>L1864</t>
  </si>
  <si>
    <t>L1865</t>
  </si>
  <si>
    <t>L1866</t>
  </si>
  <si>
    <t>L1867</t>
  </si>
  <si>
    <t>L1868</t>
  </si>
  <si>
    <t>L1869</t>
  </si>
  <si>
    <t>L1870</t>
  </si>
  <si>
    <t>L1871</t>
  </si>
  <si>
    <t>L1872</t>
  </si>
  <si>
    <t>L1873</t>
  </si>
  <si>
    <t>L1874</t>
  </si>
  <si>
    <t>L1875</t>
  </si>
  <si>
    <t>L1876</t>
  </si>
  <si>
    <t>L1877</t>
  </si>
  <si>
    <t>L1878</t>
  </si>
  <si>
    <t>L1879</t>
  </si>
  <si>
    <t>L1880</t>
  </si>
  <si>
    <t>L1881</t>
  </si>
  <si>
    <t>L1882</t>
  </si>
  <si>
    <t>L1883</t>
  </si>
  <si>
    <t>L1884</t>
  </si>
  <si>
    <t>L1885</t>
  </si>
  <si>
    <t>L1886</t>
  </si>
  <si>
    <t>L1887</t>
  </si>
  <si>
    <t>L1888</t>
  </si>
  <si>
    <t>L1889</t>
  </si>
  <si>
    <t>L1890</t>
  </si>
  <si>
    <t>L1891</t>
  </si>
  <si>
    <t>L1892</t>
  </si>
  <si>
    <t>L1893</t>
  </si>
  <si>
    <t>L1894</t>
  </si>
  <si>
    <t>L1895</t>
  </si>
  <si>
    <t>L1896</t>
  </si>
  <si>
    <t>L1897</t>
  </si>
  <si>
    <t>L1898</t>
  </si>
  <si>
    <t>L1899</t>
  </si>
  <si>
    <t>L1900</t>
  </si>
  <si>
    <t>L1901</t>
  </si>
  <si>
    <t>L1902</t>
  </si>
  <si>
    <t>L1903</t>
  </si>
  <si>
    <t>L1904</t>
  </si>
  <si>
    <t>L1905</t>
  </si>
  <si>
    <t>L1906</t>
  </si>
  <si>
    <t>L1907</t>
  </si>
  <si>
    <t>L1908</t>
  </si>
  <si>
    <t>L1909</t>
  </si>
  <si>
    <t>L1910</t>
  </si>
  <si>
    <t>L1911</t>
  </si>
  <si>
    <t>L1912</t>
  </si>
  <si>
    <t>L1913</t>
  </si>
  <si>
    <t>L1914</t>
  </si>
  <si>
    <t>L1915</t>
  </si>
  <si>
    <t>L1916</t>
  </si>
  <si>
    <t>L1917</t>
  </si>
  <si>
    <t>L1918</t>
  </si>
  <si>
    <t>L1919</t>
  </si>
  <si>
    <t>L1920</t>
  </si>
  <si>
    <t>L1921</t>
  </si>
  <si>
    <t>L1922</t>
  </si>
  <si>
    <t>L1923</t>
  </si>
  <si>
    <t>L1924</t>
  </si>
  <si>
    <t>L1925</t>
  </si>
  <si>
    <t>L1926</t>
  </si>
  <si>
    <t>L1927</t>
  </si>
  <si>
    <t>L1928</t>
  </si>
  <si>
    <t>L1929</t>
  </si>
  <si>
    <t>L1930</t>
  </si>
  <si>
    <t>L1931</t>
  </si>
  <si>
    <t>L1932</t>
  </si>
  <si>
    <t>L1933</t>
  </si>
  <si>
    <t>L1934</t>
  </si>
  <si>
    <t>L1935</t>
  </si>
  <si>
    <t>L1936</t>
  </si>
  <si>
    <t>L1937</t>
  </si>
  <si>
    <t>L1938</t>
  </si>
  <si>
    <t>L1939</t>
  </si>
  <si>
    <t>L1940</t>
  </si>
  <si>
    <t>L1941</t>
  </si>
  <si>
    <t>L1942</t>
  </si>
  <si>
    <t>L1943</t>
  </si>
  <si>
    <t>L1944</t>
  </si>
  <si>
    <t>L1945</t>
  </si>
  <si>
    <t>L1946</t>
  </si>
  <si>
    <t>L1947</t>
  </si>
  <si>
    <t>L1948</t>
  </si>
  <si>
    <t>L1949</t>
  </si>
  <si>
    <t>L1950</t>
  </si>
  <si>
    <t>L1951</t>
  </si>
  <si>
    <t>L1952</t>
  </si>
  <si>
    <t>L1953</t>
  </si>
  <si>
    <t>L1954</t>
  </si>
  <si>
    <t>L1955</t>
  </si>
  <si>
    <t>L1956</t>
  </si>
  <si>
    <t>L1957</t>
  </si>
  <si>
    <t>L1958</t>
  </si>
  <si>
    <t>L1959</t>
  </si>
  <si>
    <t>L1960</t>
  </si>
  <si>
    <t>L1961</t>
  </si>
  <si>
    <t>L1962</t>
  </si>
  <si>
    <t>L1963</t>
  </si>
  <si>
    <t>L1964</t>
  </si>
  <si>
    <t>L1965</t>
  </si>
  <si>
    <t>L1966</t>
  </si>
  <si>
    <t>L1967</t>
  </si>
  <si>
    <t>L1968</t>
  </si>
  <si>
    <t>L1969</t>
  </si>
  <si>
    <t>L1970</t>
  </si>
  <si>
    <t>L1971</t>
  </si>
  <si>
    <t>L1972</t>
  </si>
  <si>
    <t>L1973</t>
  </si>
  <si>
    <t>L1974</t>
  </si>
  <si>
    <t>L1975</t>
  </si>
  <si>
    <t>L1976</t>
  </si>
  <si>
    <t>L1977</t>
  </si>
  <si>
    <t>L1978</t>
  </si>
  <si>
    <t>L1979</t>
  </si>
  <si>
    <t>L1980</t>
  </si>
  <si>
    <t>L1981</t>
  </si>
  <si>
    <t>L1982</t>
  </si>
  <si>
    <t>L1983</t>
  </si>
  <si>
    <t>L1984</t>
  </si>
  <si>
    <t>L1985</t>
  </si>
  <si>
    <t>L1986</t>
  </si>
  <si>
    <t>L1987</t>
  </si>
  <si>
    <t>L1988</t>
  </si>
  <si>
    <t>L1989</t>
  </si>
  <si>
    <t>L1990</t>
  </si>
  <si>
    <t>L1991</t>
  </si>
  <si>
    <t>L1992</t>
  </si>
  <si>
    <t>L1993</t>
  </si>
  <si>
    <t>L1994</t>
  </si>
  <si>
    <t>L1995</t>
  </si>
  <si>
    <t>L1996</t>
  </si>
  <si>
    <t>L1997</t>
  </si>
  <si>
    <t>L1998</t>
  </si>
  <si>
    <t>L1999</t>
  </si>
  <si>
    <t>Cancellation patterns by store and reason</t>
  </si>
  <si>
    <t>NPS Calculation</t>
  </si>
  <si>
    <t>Store</t>
  </si>
  <si>
    <t>Promoters</t>
  </si>
  <si>
    <t>Detractors</t>
  </si>
  <si>
    <t>Total</t>
  </si>
  <si>
    <t>NPS (%)</t>
  </si>
  <si>
    <t>Detractor</t>
  </si>
  <si>
    <t>Passive</t>
  </si>
  <si>
    <t>Promoter</t>
  </si>
  <si>
    <t>Category</t>
  </si>
  <si>
    <t>Count of Responses</t>
  </si>
  <si>
    <t>%</t>
  </si>
  <si>
    <t>Passives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</si>
</sst>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_ "/>
    <numFmt numFmtId="181" formatCode="yyyy/mm/dd;@"/>
    <numFmt numFmtId="182" formatCode="0.00_);[Red]\(0.00\)"/>
  </numFmts>
  <fonts count="28">
    <font>
      <sz val="11"/>
      <color theme="1"/>
      <name val="Calibri"/>
      <charset val="134"/>
      <scheme val="minor"/>
    </font>
    <font>
      <b/>
      <sz val="18"/>
      <color theme="0"/>
      <name val="Calibri"/>
      <charset val="134"/>
      <scheme val="major"/>
    </font>
    <font>
      <b/>
      <sz val="14"/>
      <color theme="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2"/>
      <color theme="0"/>
      <name val="Calibri"/>
      <charset val="134"/>
    </font>
    <font>
      <b/>
      <sz val="11"/>
      <color theme="1"/>
      <name val="Calibri"/>
      <charset val="134"/>
    </font>
    <font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2"/>
      <color theme="0"/>
      <name val="Calibri-Bold"/>
      <charset val="134"/>
    </font>
  </fonts>
  <fills count="37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7030A0"/>
        <bgColor theme="7"/>
      </patternFill>
    </fill>
    <fill>
      <patternFill patternType="solid">
        <fgColor theme="7"/>
        <bgColor theme="7"/>
      </patternFill>
    </fill>
    <fill>
      <patternFill patternType="solid">
        <fgColor theme="7" tint="0.799981688894314"/>
        <bgColor theme="7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thin">
        <color theme="7"/>
      </left>
      <right style="thin">
        <color theme="7"/>
      </right>
      <top/>
      <bottom style="thin">
        <color theme="0"/>
      </bottom>
      <diagonal/>
    </border>
    <border>
      <left style="thin">
        <color theme="7"/>
      </left>
      <right style="thin">
        <color theme="7"/>
      </right>
      <top style="thin">
        <color theme="0"/>
      </top>
      <bottom style="thin">
        <color theme="0"/>
      </bottom>
      <diagonal/>
    </border>
    <border>
      <left style="thin">
        <color theme="7"/>
      </left>
      <right style="thin">
        <color theme="7"/>
      </right>
      <top style="thin">
        <color theme="0"/>
      </top>
      <bottom style="thin">
        <color theme="7"/>
      </bottom>
      <diagonal/>
    </border>
    <border>
      <left style="thin">
        <color theme="7"/>
      </left>
      <right style="thin">
        <color theme="0"/>
      </right>
      <top style="thin">
        <color theme="7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7"/>
      </top>
      <bottom style="thin">
        <color theme="0"/>
      </bottom>
      <diagonal/>
    </border>
    <border>
      <left style="thin">
        <color theme="0"/>
      </left>
      <right style="thin">
        <color theme="7"/>
      </right>
      <top style="thin">
        <color theme="7"/>
      </top>
      <bottom style="thin">
        <color theme="0"/>
      </bottom>
      <diagonal/>
    </border>
    <border>
      <left style="thin">
        <color theme="7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7"/>
      </right>
      <top style="thin">
        <color theme="0"/>
      </top>
      <bottom style="thin">
        <color theme="0"/>
      </bottom>
      <diagonal/>
    </border>
    <border>
      <left style="thin">
        <color theme="7"/>
      </left>
      <right style="thin">
        <color theme="0"/>
      </right>
      <top style="thin">
        <color theme="0"/>
      </top>
      <bottom style="thin">
        <color theme="7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7"/>
      </bottom>
      <diagonal/>
    </border>
    <border>
      <left style="thin">
        <color theme="0"/>
      </left>
      <right style="thin">
        <color theme="7"/>
      </right>
      <top style="thin">
        <color theme="0"/>
      </top>
      <bottom style="thin">
        <color theme="7"/>
      </bottom>
      <diagonal/>
    </border>
    <border>
      <left/>
      <right style="thin">
        <color theme="7"/>
      </right>
      <top/>
      <bottom/>
      <diagonal/>
    </border>
    <border>
      <left style="thin">
        <color theme="7"/>
      </left>
      <right style="thin">
        <color theme="7" tint="0.399975585192419"/>
      </right>
      <top/>
      <bottom style="thin">
        <color theme="7" tint="0.399975585192419"/>
      </bottom>
      <diagonal/>
    </border>
    <border>
      <left style="thin">
        <color theme="7" tint="0.399975585192419"/>
      </left>
      <right style="thin">
        <color theme="7" tint="0.399975585192419"/>
      </right>
      <top/>
      <bottom style="thin">
        <color theme="7" tint="0.399975585192419"/>
      </bottom>
      <diagonal/>
    </border>
    <border>
      <left style="thin">
        <color theme="7" tint="0.399975585192419"/>
      </left>
      <right style="thin">
        <color theme="7"/>
      </right>
      <top/>
      <bottom style="thin">
        <color theme="7" tint="0.399975585192419"/>
      </bottom>
      <diagonal/>
    </border>
    <border>
      <left style="thin">
        <color theme="7"/>
      </left>
      <right style="thin">
        <color theme="7" tint="0.399975585192419"/>
      </right>
      <top style="thin">
        <color theme="7" tint="0.399975585192419"/>
      </top>
      <bottom style="thin">
        <color theme="7" tint="0.399975585192419"/>
      </bottom>
      <diagonal/>
    </border>
    <border>
      <left style="thin">
        <color theme="7" tint="0.399975585192419"/>
      </left>
      <right style="thin">
        <color theme="7" tint="0.399975585192419"/>
      </right>
      <top style="thin">
        <color theme="7" tint="0.399975585192419"/>
      </top>
      <bottom style="thin">
        <color theme="7" tint="0.399975585192419"/>
      </bottom>
      <diagonal/>
    </border>
    <border>
      <left style="thin">
        <color theme="7" tint="0.399975585192419"/>
      </left>
      <right style="thin">
        <color theme="7"/>
      </right>
      <top style="thin">
        <color theme="7" tint="0.399975585192419"/>
      </top>
      <bottom style="thin">
        <color theme="7" tint="0.399975585192419"/>
      </bottom>
      <diagonal/>
    </border>
    <border>
      <left style="thin">
        <color theme="7"/>
      </left>
      <right style="thin">
        <color theme="7" tint="0.399975585192419"/>
      </right>
      <top style="thin">
        <color theme="7" tint="0.399975585192419"/>
      </top>
      <bottom style="thin">
        <color theme="7"/>
      </bottom>
      <diagonal/>
    </border>
    <border>
      <left style="thin">
        <color theme="7" tint="0.399975585192419"/>
      </left>
      <right style="thin">
        <color theme="7" tint="0.399975585192419"/>
      </right>
      <top style="thin">
        <color theme="7" tint="0.399975585192419"/>
      </top>
      <bottom style="thin">
        <color theme="7"/>
      </bottom>
      <diagonal/>
    </border>
    <border>
      <left style="thin">
        <color theme="7" tint="0.399975585192419"/>
      </left>
      <right style="thin">
        <color theme="7"/>
      </right>
      <top style="thin">
        <color theme="7" tint="0.399975585192419"/>
      </top>
      <bottom style="thin">
        <color theme="7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6" borderId="2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5" applyNumberFormat="0" applyFill="0" applyAlignment="0" applyProtection="0">
      <alignment vertical="center"/>
    </xf>
    <xf numFmtId="0" fontId="14" fillId="0" borderId="25" applyNumberFormat="0" applyFill="0" applyAlignment="0" applyProtection="0">
      <alignment vertical="center"/>
    </xf>
    <xf numFmtId="0" fontId="15" fillId="0" borderId="2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27" applyNumberFormat="0" applyAlignment="0" applyProtection="0">
      <alignment vertical="center"/>
    </xf>
    <xf numFmtId="0" fontId="17" fillId="8" borderId="28" applyNumberFormat="0" applyAlignment="0" applyProtection="0">
      <alignment vertical="center"/>
    </xf>
    <xf numFmtId="0" fontId="18" fillId="8" borderId="27" applyNumberFormat="0" applyAlignment="0" applyProtection="0">
      <alignment vertical="center"/>
    </xf>
    <xf numFmtId="0" fontId="19" fillId="9" borderId="29" applyNumberFormat="0" applyAlignment="0" applyProtection="0">
      <alignment vertical="center"/>
    </xf>
    <xf numFmtId="0" fontId="20" fillId="0" borderId="30" applyNumberFormat="0" applyFill="0" applyAlignment="0" applyProtection="0">
      <alignment vertical="center"/>
    </xf>
    <xf numFmtId="0" fontId="21" fillId="0" borderId="31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</cellStyleXfs>
  <cellXfs count="63">
    <xf numFmtId="0" fontId="0" fillId="0" borderId="0" xfId="0" applyFont="1" applyAlignment="1"/>
    <xf numFmtId="0" fontId="1" fillId="0" borderId="0" xfId="0" applyFont="1" applyFill="1" applyAlignment="1">
      <alignment horizontal="center"/>
    </xf>
    <xf numFmtId="0" fontId="0" fillId="0" borderId="0" xfId="0" applyNumberFormat="1" applyFont="1" applyAlignment="1"/>
    <xf numFmtId="0" fontId="2" fillId="2" borderId="0" xfId="0" applyFont="1" applyFill="1" applyAlignment="1">
      <alignment horizontal="center" vertical="top"/>
    </xf>
    <xf numFmtId="0" fontId="0" fillId="0" borderId="0" xfId="0" applyFont="1" applyAlignment="1">
      <alignment horizontal="center" vertical="top"/>
    </xf>
    <xf numFmtId="0" fontId="3" fillId="3" borderId="1" xfId="0" applyFont="1" applyFill="1" applyBorder="1" applyAlignment="1">
      <alignment horizontal="left" vertical="top"/>
    </xf>
    <xf numFmtId="0" fontId="0" fillId="0" borderId="0" xfId="0" applyFont="1" applyAlignment="1">
      <alignment horizontal="left" vertical="top"/>
    </xf>
    <xf numFmtId="0" fontId="3" fillId="4" borderId="2" xfId="0" applyFont="1" applyFill="1" applyBorder="1" applyAlignment="1">
      <alignment horizontal="left" vertical="top"/>
    </xf>
    <xf numFmtId="0" fontId="3" fillId="4" borderId="3" xfId="0" applyFont="1" applyFill="1" applyBorder="1" applyAlignment="1">
      <alignment horizontal="left" vertical="top"/>
    </xf>
    <xf numFmtId="0" fontId="3" fillId="4" borderId="4" xfId="0" applyFont="1" applyFill="1" applyBorder="1"/>
    <xf numFmtId="0" fontId="3" fillId="4" borderId="5" xfId="0" applyFont="1" applyFill="1" applyBorder="1" applyAlignment="1">
      <alignment horizontal="left"/>
    </xf>
    <xf numFmtId="0" fontId="3" fillId="4" borderId="6" xfId="0" applyFont="1" applyFill="1" applyBorder="1" applyAlignment="1">
      <alignment horizontal="center"/>
    </xf>
    <xf numFmtId="0" fontId="3" fillId="4" borderId="7" xfId="0" applyFont="1" applyFill="1" applyBorder="1"/>
    <xf numFmtId="0" fontId="0" fillId="5" borderId="8" xfId="0" applyFont="1" applyFill="1" applyBorder="1" applyAlignment="1">
      <alignment horizontal="center"/>
    </xf>
    <xf numFmtId="9" fontId="0" fillId="5" borderId="9" xfId="3" applyFont="1" applyFill="1" applyBorder="1" applyAlignment="1"/>
    <xf numFmtId="0" fontId="0" fillId="0" borderId="8" xfId="0" applyFont="1" applyFill="1" applyBorder="1" applyAlignment="1">
      <alignment horizontal="center"/>
    </xf>
    <xf numFmtId="9" fontId="0" fillId="0" borderId="9" xfId="3" applyFont="1" applyFill="1" applyBorder="1" applyAlignment="1"/>
    <xf numFmtId="0" fontId="3" fillId="4" borderId="10" xfId="0" applyFont="1" applyFill="1" applyBorder="1"/>
    <xf numFmtId="0" fontId="0" fillId="0" borderId="11" xfId="0" applyNumberFormat="1" applyFont="1" applyFill="1" applyBorder="1" applyAlignment="1">
      <alignment horizontal="center"/>
    </xf>
    <xf numFmtId="9" fontId="0" fillId="0" borderId="12" xfId="3" applyFont="1" applyFill="1" applyBorder="1" applyAlignment="1"/>
    <xf numFmtId="0" fontId="2" fillId="2" borderId="13" xfId="0" applyFont="1" applyFill="1" applyBorder="1" applyAlignment="1">
      <alignment horizontal="center" vertical="top"/>
    </xf>
    <xf numFmtId="0" fontId="0" fillId="2" borderId="14" xfId="0" applyFont="1" applyFill="1" applyBorder="1" applyAlignment="1">
      <alignment horizontal="left" vertical="top"/>
    </xf>
    <xf numFmtId="0" fontId="0" fillId="2" borderId="15" xfId="0" applyFont="1" applyFill="1" applyBorder="1" applyAlignment="1">
      <alignment horizontal="left" vertical="top"/>
    </xf>
    <xf numFmtId="0" fontId="0" fillId="2" borderId="16" xfId="0" applyFont="1" applyFill="1" applyBorder="1" applyAlignment="1">
      <alignment horizontal="left" vertical="top"/>
    </xf>
    <xf numFmtId="0" fontId="0" fillId="5" borderId="17" xfId="0" applyFont="1" applyFill="1" applyBorder="1" applyAlignment="1">
      <alignment horizontal="center" vertical="top"/>
    </xf>
    <xf numFmtId="0" fontId="0" fillId="5" borderId="18" xfId="0" applyFont="1" applyFill="1" applyBorder="1" applyAlignment="1">
      <alignment horizontal="center" vertical="top"/>
    </xf>
    <xf numFmtId="180" fontId="0" fillId="5" borderId="19" xfId="0" applyNumberFormat="1" applyFont="1" applyFill="1" applyBorder="1" applyAlignment="1">
      <alignment horizontal="center" vertical="top"/>
    </xf>
    <xf numFmtId="0" fontId="0" fillId="0" borderId="17" xfId="0" applyFont="1" applyFill="1" applyBorder="1" applyAlignment="1">
      <alignment horizontal="center" vertical="top"/>
    </xf>
    <xf numFmtId="0" fontId="0" fillId="0" borderId="18" xfId="0" applyFont="1" applyFill="1" applyBorder="1" applyAlignment="1">
      <alignment horizontal="center" vertical="top"/>
    </xf>
    <xf numFmtId="180" fontId="0" fillId="0" borderId="19" xfId="0" applyNumberFormat="1" applyFont="1" applyFill="1" applyBorder="1" applyAlignment="1">
      <alignment horizontal="center" vertical="top"/>
    </xf>
    <xf numFmtId="0" fontId="4" fillId="5" borderId="20" xfId="0" applyFont="1" applyFill="1" applyBorder="1" applyAlignment="1">
      <alignment horizontal="center" vertical="top"/>
    </xf>
    <xf numFmtId="0" fontId="4" fillId="5" borderId="21" xfId="0" applyFont="1" applyFill="1" applyBorder="1" applyAlignment="1">
      <alignment horizontal="center" vertical="top"/>
    </xf>
    <xf numFmtId="180" fontId="4" fillId="5" borderId="22" xfId="0" applyNumberFormat="1" applyFont="1" applyFill="1" applyBorder="1" applyAlignment="1">
      <alignment horizontal="center" vertical="top"/>
    </xf>
    <xf numFmtId="9" fontId="0" fillId="0" borderId="0" xfId="3" applyFont="1" applyAlignment="1">
      <alignment wrapText="1"/>
    </xf>
    <xf numFmtId="9" fontId="0" fillId="0" borderId="0" xfId="3" applyFont="1" applyAlignment="1"/>
    <xf numFmtId="0" fontId="5" fillId="2" borderId="0" xfId="0" applyFont="1" applyFill="1" applyAlignment="1">
      <alignment horizontal="center"/>
    </xf>
    <xf numFmtId="181" fontId="0" fillId="0" borderId="0" xfId="0" applyNumberFormat="1" applyFont="1" applyAlignment="1">
      <alignment horizontal="left"/>
    </xf>
    <xf numFmtId="182" fontId="0" fillId="0" borderId="0" xfId="0" applyNumberFormat="1" applyFont="1" applyAlignment="1">
      <alignment horizontal="left"/>
    </xf>
    <xf numFmtId="0" fontId="0" fillId="0" borderId="0" xfId="0" applyNumberFormat="1" applyFont="1" applyAlignment="1">
      <alignment horizontal="left"/>
    </xf>
    <xf numFmtId="0" fontId="0" fillId="0" borderId="0" xfId="0" applyFont="1" applyAlignment="1">
      <alignment horizontal="left"/>
    </xf>
    <xf numFmtId="0" fontId="6" fillId="0" borderId="23" xfId="0" applyFont="1" applyBorder="1" applyAlignment="1">
      <alignment horizontal="center" vertical="top"/>
    </xf>
    <xf numFmtId="181" fontId="6" fillId="0" borderId="23" xfId="0" applyNumberFormat="1" applyFont="1" applyBorder="1" applyAlignment="1">
      <alignment horizontal="center" vertical="top"/>
    </xf>
    <xf numFmtId="182" fontId="6" fillId="0" borderId="23" xfId="0" applyNumberFormat="1" applyFont="1" applyBorder="1" applyAlignment="1">
      <alignment horizontal="center" vertical="top"/>
    </xf>
    <xf numFmtId="0" fontId="0" fillId="0" borderId="0" xfId="0" applyFont="1"/>
    <xf numFmtId="181" fontId="7" fillId="0" borderId="0" xfId="0" applyNumberFormat="1" applyFont="1" applyAlignment="1">
      <alignment horizontal="left"/>
    </xf>
    <xf numFmtId="182" fontId="0" fillId="0" borderId="0" xfId="0" applyNumberFormat="1" applyFont="1" applyAlignment="1">
      <alignment horizontal="left" wrapText="1"/>
    </xf>
    <xf numFmtId="182" fontId="7" fillId="0" borderId="0" xfId="0" applyNumberFormat="1" applyFont="1" applyAlignment="1">
      <alignment horizontal="left"/>
    </xf>
    <xf numFmtId="0" fontId="6" fillId="0" borderId="23" xfId="0" applyNumberFormat="1" applyFont="1" applyBorder="1" applyAlignment="1">
      <alignment horizontal="center" vertical="top"/>
    </xf>
    <xf numFmtId="0" fontId="0" fillId="0" borderId="0" xfId="0" applyNumberFormat="1" applyFont="1" applyAlignment="1">
      <alignment horizontal="left" wrapText="1"/>
    </xf>
    <xf numFmtId="0" fontId="4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 applyAlignment="1">
      <alignment wrapText="1"/>
    </xf>
    <xf numFmtId="9" fontId="0" fillId="0" borderId="0" xfId="3" applyFont="1" applyAlignment="1">
      <alignment horizontal="left" wrapText="1"/>
    </xf>
    <xf numFmtId="9" fontId="4" fillId="0" borderId="0" xfId="0" applyNumberFormat="1" applyFont="1" applyAlignment="1"/>
    <xf numFmtId="0" fontId="4" fillId="0" borderId="0" xfId="0" applyFont="1" applyAlignment="1"/>
    <xf numFmtId="0" fontId="3" fillId="4" borderId="6" xfId="0" applyFont="1" applyFill="1" applyBorder="1"/>
    <xf numFmtId="0" fontId="0" fillId="5" borderId="9" xfId="0" applyFont="1" applyFill="1" applyBorder="1" applyAlignment="1">
      <alignment wrapText="1"/>
    </xf>
    <xf numFmtId="0" fontId="0" fillId="0" borderId="9" xfId="0" applyFont="1" applyFill="1" applyBorder="1" applyAlignment="1">
      <alignment wrapText="1"/>
    </xf>
    <xf numFmtId="0" fontId="0" fillId="5" borderId="12" xfId="0" applyFont="1" applyFill="1" applyBorder="1" applyAlignment="1">
      <alignment wrapText="1"/>
    </xf>
    <xf numFmtId="182" fontId="0" fillId="0" borderId="0" xfId="0" applyNumberFormat="1" applyFont="1" applyAlignment="1"/>
    <xf numFmtId="182" fontId="7" fillId="0" borderId="0" xfId="0" applyNumberFormat="1" applyFont="1" applyAlignment="1"/>
    <xf numFmtId="9" fontId="0" fillId="0" borderId="0" xfId="0" applyNumberFormat="1" applyFont="1" applyAlignment="1"/>
    <xf numFmtId="10" fontId="0" fillId="0" borderId="0" xfId="0" applyNumberFormat="1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42">
    <dxf>
      <numFmt numFmtId="9" formatCode="0%"/>
    </dxf>
    <dxf>
      <numFmt numFmtId="9" formatCode="0%"/>
    </dxf>
    <dxf>
      <numFmt numFmtId="9" formatCode="0%"/>
    </dxf>
    <dxf>
      <numFmt numFmtId="9" formatCode="0%"/>
    </dxf>
    <dxf>
      <numFmt numFmtId="9" formatCode="0%"/>
    </dxf>
    <dxf>
      <numFmt numFmtId="9" formatCode="0%"/>
    </dxf>
    <dxf>
      <numFmt numFmtId="9" formatCode="0%"/>
    </dxf>
    <dxf>
      <numFmt numFmtId="9" formatCode="0%"/>
    </dxf>
    <dxf>
      <numFmt numFmtId="10" formatCode="0.00%"/>
    </dxf>
    <dxf>
      <numFmt numFmtId="10" formatCode="0.00%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  <numFmt numFmtId="9" formatCode="0%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  <numFmt numFmtId="9" formatCode="0%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  <numFmt numFmtId="9" formatCode="0%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  <numFmt numFmtId="9" formatCode="0%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  <numFmt numFmtId="9" formatCode="0%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  <numFmt numFmtId="9" formatCode="0%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  <numFmt numFmtId="10" formatCode="0.00%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  <numFmt numFmtId="10" formatCode="0.00%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  <numFmt numFmtId="10" formatCode="0.00%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  <numFmt numFmtId="10" formatCode="0.00%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  <numFmt numFmtId="10" formatCode="0.00%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  <numFmt numFmtId="10" formatCode="0.00%"/>
    </dxf>
    <dxf>
      <numFmt numFmtId="182" formatCode="0.00_);[Red]\(0.00\)"/>
    </dxf>
    <dxf>
      <numFmt numFmtId="182" formatCode="0.00_);[Red]\(0.00\)"/>
    </dxf>
    <dxf>
      <numFmt numFmtId="182" formatCode="0.00_);[Red]\(0.00\)"/>
    </dxf>
    <dxf>
      <numFmt numFmtId="182" formatCode="0.00_);[Red]\(0.00\)"/>
    </dxf>
    <dxf>
      <numFmt numFmtId="182" formatCode="0.00_);[Red]\(0.00\)"/>
    </dxf>
    <dxf>
      <numFmt numFmtId="182" formatCode="0.00_);[Red]\(0.00\)"/>
    </dxf>
    <dxf>
      <font>
        <b val="1"/>
      </font>
    </dxf>
    <dxf>
      <font>
        <b val="1"/>
      </font>
    </dxf>
    <dxf>
      <font>
        <b val="0"/>
      </font>
    </dxf>
    <dxf>
      <font>
        <b val="0"/>
      </font>
    </dxf>
    <dxf>
      <font>
        <b val="1"/>
      </font>
    </dxf>
    <dxf>
      <font>
        <b val="1"/>
      </font>
    </dxf>
    <dxf>
      <font>
        <b val="0"/>
      </font>
    </dxf>
    <dxf>
      <font>
        <b val="0"/>
      </font>
    </dxf>
    <dxf>
      <font>
        <b val="1"/>
      </font>
    </dxf>
    <dxf>
      <font>
        <b val="1"/>
      </font>
    </dxf>
    <dxf>
      <alignment horizontal="center"/>
    </dxf>
    <dxf>
      <alignment vertical="top"/>
    </dxf>
    <dxf>
      <alignment horizontal="left"/>
    </dxf>
    <dxf>
      <alignment horizontal="right"/>
    </dxf>
    <dxf>
      <alignment horizont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border>
        <top/>
      </border>
    </dxf>
    <dxf>
      <border>
        <top/>
      </border>
    </dxf>
    <dxf>
      <numFmt numFmtId="49" formatCode="@"/>
    </dxf>
    <dxf>
      <numFmt numFmtId="49" formatCode="@"/>
    </dxf>
    <dxf>
      <numFmt numFmtId="49" formatCode="@"/>
    </dxf>
    <dxf>
      <numFmt numFmtId="49" formatCode="@"/>
    </dxf>
    <dxf>
      <numFmt numFmtId="49" formatCode="@"/>
    </dxf>
    <dxf>
      <numFmt numFmtId="49" formatCode="@"/>
    </dxf>
    <dxf>
      <numFmt numFmtId="49" formatCode="@"/>
    </dxf>
    <dxf>
      <numFmt numFmtId="49" formatCode="@"/>
    </dxf>
    <dxf>
      <numFmt numFmtId="49" formatCode="@"/>
    </dxf>
    <dxf>
      <numFmt numFmtId="49" formatCode="@"/>
    </dxf>
    <dxf>
      <numFmt numFmtId="49" formatCode="@"/>
    </dxf>
    <dxf>
      <numFmt numFmtId="49" formatCode="@"/>
    </dxf>
    <dxf>
      <numFmt numFmtId="49" formatCode="@"/>
    </dxf>
    <dxf>
      <numFmt numFmtId="49" formatCode="@"/>
    </dxf>
    <dxf>
      <numFmt numFmtId="49" formatCode="@"/>
    </dxf>
    <dxf>
      <numFmt numFmtId="182" formatCode="0.00_);[Red]\(0.00\)"/>
    </dxf>
    <dxf>
      <numFmt numFmtId="182" formatCode="0.00_);[Red]\(0.00\)"/>
    </dxf>
    <dxf>
      <numFmt numFmtId="182" formatCode="0.00_);[Red]\(0.00\)"/>
    </dxf>
    <dxf>
      <numFmt numFmtId="182" formatCode="0.00_);[Red]\(0.00\)"/>
    </dxf>
    <dxf>
      <numFmt numFmtId="182" formatCode="0.00_);[Red]\(0.00\)"/>
    </dxf>
    <dxf>
      <numFmt numFmtId="182" formatCode="0.00_);[Red]\(0.00\)"/>
    </dxf>
    <dxf>
      <numFmt numFmtId="182" formatCode="0.00_);[Red]\(0.00\)"/>
    </dxf>
    <dxf>
      <numFmt numFmtId="182" formatCode="0.00_);[Red]\(0.00\)"/>
    </dxf>
    <dxf>
      <numFmt numFmtId="182" formatCode="0.00_);[Red]\(0.00\)"/>
    </dxf>
    <dxf>
      <numFmt numFmtId="182" formatCode="0.00_);[Red]\(0.00\)"/>
    </dxf>
    <dxf>
      <numFmt numFmtId="182" formatCode="0.00_);[Red]\(0.00\)"/>
    </dxf>
    <dxf>
      <numFmt numFmtId="182" formatCode="0.00_);[Red]\(0.00\)"/>
    </dxf>
    <dxf>
      <numFmt numFmtId="182" formatCode="0.00_);[Red]\(0.00\)"/>
    </dxf>
    <dxf>
      <numFmt numFmtId="182" formatCode="0.00_);[Red]\(0.00\)"/>
    </dxf>
    <dxf>
      <numFmt numFmtId="182" formatCode="0.00_);[Red]\(0.00\)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0"/>
      </font>
      <fill>
        <patternFill patternType="solid">
          <fgColor theme="7"/>
          <bgColor theme="7"/>
        </patternFill>
      </fill>
    </dxf>
    <dxf>
      <font>
        <b val="1"/>
        <color theme="0"/>
      </font>
      <fill>
        <patternFill patternType="solid">
          <fgColor theme="7"/>
          <bgColor theme="7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fill>
        <patternFill patternType="solid">
          <fgColor theme="7" tint="0.799981688894314"/>
          <bgColor theme="7" tint="0.799981688894314"/>
        </patternFill>
      </fill>
    </dxf>
    <dxf>
      <border>
        <left style="thin">
          <color theme="7" tint="0.399975585192419"/>
        </left>
        <right style="thin">
          <color theme="7" tint="0.399975585192419"/>
        </right>
      </border>
    </dxf>
    <dxf>
      <border>
        <top style="thin">
          <color theme="7" tint="0.399975585192419"/>
        </top>
        <bottom style="thin">
          <color theme="7" tint="0.399975585192419"/>
        </bottom>
        <horizontal style="thin">
          <color theme="7" tint="0.399975585192419"/>
        </horizontal>
      </border>
    </dxf>
    <dxf>
      <fill>
        <patternFill patternType="solid">
          <fgColor theme="7" tint="0.599993896298105"/>
          <bgColor theme="7" tint="0.599993896298105"/>
        </patternFill>
      </fill>
    </dxf>
    <dxf>
      <font>
        <b val="1"/>
        <color theme="1"/>
      </font>
      <border>
        <top style="thin">
          <color theme="7" tint="-0.249977111117893"/>
        </top>
        <bottom style="medium">
          <color theme="7" tint="-0.249977111117893"/>
        </bottom>
      </border>
    </dxf>
    <dxf>
      <font>
        <b val="1"/>
        <color theme="0"/>
      </font>
      <fill>
        <patternFill patternType="solid">
          <fgColor theme="7"/>
          <bgColor theme="7"/>
        </patternFill>
      </fill>
      <border>
        <top style="medium">
          <color theme="7" tint="-0.249977111117893"/>
        </top>
      </border>
    </dxf>
    <dxf>
      <font>
        <color theme="1"/>
      </font>
    </dxf>
    <dxf>
      <font>
        <b val="1"/>
        <color theme="0"/>
      </font>
      <fill>
        <patternFill patternType="solid">
          <fgColor theme="7"/>
          <bgColor theme="7"/>
        </patternFill>
      </fill>
    </dxf>
    <dxf>
      <font>
        <b val="1"/>
        <color theme="1"/>
      </font>
    </dxf>
    <dxf>
      <font>
        <b val="1"/>
      </font>
    </dxf>
    <dxf>
      <fill>
        <patternFill patternType="solid">
          <fgColor theme="7" tint="0.799981688894314"/>
          <bgColor theme="7" tint="0.799981688894314"/>
        </patternFill>
      </fill>
    </dxf>
    <dxf>
      <fill>
        <patternFill patternType="solid">
          <fgColor theme="7" tint="0.799981688894314"/>
          <bgColor theme="7" tint="0.799981688894314"/>
        </patternFill>
      </fill>
    </dxf>
    <dxf>
      <font>
        <b val="1"/>
        <color theme="0"/>
      </font>
      <fill>
        <patternFill patternType="solid">
          <fgColor theme="7"/>
          <bgColor theme="7"/>
        </patternFill>
      </fill>
    </dxf>
    <dxf>
      <font>
        <color theme="1"/>
      </font>
      <fill>
        <patternFill patternType="solid">
          <fgColor theme="7" tint="0.599993896298105"/>
          <bgColor theme="7" tint="0.599993896298105"/>
        </patternFill>
      </fill>
      <border>
        <vertical style="thin">
          <color theme="0"/>
        </vertical>
      </border>
    </dxf>
  </dxfs>
  <tableStyles count="4" defaultTableStyle="TableStylePreset3_Accent1" defaultPivotStyle="PivotStylePreset2_Accent1">
    <tableStyle name="TableStylePreset3_Accent1" pivot="0" count="7" xr9:uid="{59DB682C-5494-4EDE-A608-00C9E5F0F923}">
      <tableStyleElement type="wholeTable" dxfId="111"/>
      <tableStyleElement type="headerRow" dxfId="110"/>
      <tableStyleElement type="totalRow" dxfId="109"/>
      <tableStyleElement type="firstColumn" dxfId="108"/>
      <tableStyleElement type="lastColumn" dxfId="107"/>
      <tableStyleElement type="firstRowStripe" dxfId="106"/>
      <tableStyleElement type="firstColumnStripe" dxfId="105"/>
    </tableStyle>
    <tableStyle name="PivotStylePreset2_Accent1" table="0" count="10" xr9:uid="{267968C8-6FFD-4C36-ACC1-9EA1FD1885CA}">
      <tableStyleElement type="headerRow" dxfId="121"/>
      <tableStyleElement type="totalRow" dxfId="120"/>
      <tableStyleElement type="firstRowStripe" dxfId="119"/>
      <tableStyleElement type="firstColumnStripe" dxfId="118"/>
      <tableStyleElement type="firstSubtotalRow" dxfId="117"/>
      <tableStyleElement type="secondSubtotalRow" dxfId="116"/>
      <tableStyleElement type="firstRowSubheading" dxfId="115"/>
      <tableStyleElement type="secondRowSubheading" dxfId="114"/>
      <tableStyleElement type="pageFieldLabels" dxfId="113"/>
      <tableStyleElement type="pageFieldValues" dxfId="112"/>
    </tableStyle>
    <tableStyle name="PivotStylePreset5_Accent4" table="0" count="13" xr9:uid="{E1906DC8-42A9-40A1-BC38-7A7BA7CC615B}">
      <tableStyleElement type="wholeTable" dxfId="134"/>
      <tableStyleElement type="headerRow" dxfId="133"/>
      <tableStyleElement type="totalRow" dxfId="132"/>
      <tableStyleElement type="firstColumn" dxfId="131"/>
      <tableStyleElement type="firstRowStripe" dxfId="130"/>
      <tableStyleElement type="firstColumnStripe" dxfId="129"/>
      <tableStyleElement type="firstSubtotalColumn" dxfId="128"/>
      <tableStyleElement type="firstSubtotalRow" dxfId="127"/>
      <tableStyleElement type="secondSubtotalRow" dxfId="126"/>
      <tableStyleElement type="firstRowSubheading" dxfId="125"/>
      <tableStyleElement type="secondRowSubheading" dxfId="124"/>
      <tableStyleElement type="pageFieldLabels" dxfId="123"/>
      <tableStyleElement type="pageFieldValues" dxfId="122"/>
    </tableStyle>
    <tableStyle name="PivotStylePreset6_Accent4" table="0" count="7" xr9:uid="{E1784DE0-E97E-4376-87D7-D960536E53C5}">
      <tableStyleElement type="wholeTable" dxfId="141"/>
      <tableStyleElement type="firstColumn" dxfId="140"/>
      <tableStyleElement type="firstRowStripe" dxfId="139"/>
      <tableStyleElement type="firstColumnStripe" dxfId="138"/>
      <tableStyleElement type="firstSubtotalColumn" dxfId="137"/>
      <tableStyleElement type="firstSubtotalRow" dxfId="136"/>
      <tableStyleElement type="pageFieldLabels" dxfId="135"/>
    </tableStyle>
  </tableStyles>
  <colors>
    <mruColors>
      <color rgb="00AE00F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microsoft.com/office/2007/relationships/slicerCache" Target="slicerCaches/slicerCache3.xml"/><Relationship Id="rId13" Type="http://schemas.microsoft.com/office/2007/relationships/slicerCache" Target="slicerCaches/slicerCache2.xml"/><Relationship Id="rId12" Type="http://schemas.microsoft.com/office/2007/relationships/slicerCache" Target="slicerCaches/slicerCache1.xml"/><Relationship Id="rId11" Type="http://schemas.openxmlformats.org/officeDocument/2006/relationships/pivotCacheDefinition" Target="pivotCache/pivotCacheDefinition2.xml"/><Relationship Id="rId10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[ElectricPe_assignment1.xlsx]Conversion rates!PivotTable2</c:name>
    <c:fmtId val="8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32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sz="1320" b="1">
                <a:solidFill>
                  <a:schemeClr val="bg1"/>
                </a:solidFill>
              </a:rPr>
              <a:t>Lead Conversion Funnel by Store</a:t>
            </a:r>
            <a:endParaRPr sz="1320" b="1">
              <a:solidFill>
                <a:schemeClr val="bg1"/>
              </a:solidFill>
            </a:endParaRPr>
          </a:p>
        </c:rich>
      </c:tx>
      <c:layout>
        <c:manualLayout>
          <c:xMode val="edge"/>
          <c:yMode val="edge"/>
          <c:x val="0.339992488452277"/>
          <c:y val="0.0136635387445009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148389559395"/>
          <c:y val="0.173687485659524"/>
          <c:w val="0.848281332628239"/>
          <c:h val="0.641738322100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'Conversion rates'!$B$3:$B$5</c:f>
              <c:strCache>
                <c:ptCount val="1"/>
                <c:pt idx="0">
                  <c:v>Delivered - No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54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'Conversion rates'!$A$6:$A$10</c:f>
              <c:strCache>
                <c:ptCount val="4"/>
                <c:pt idx="0">
                  <c:v>Bangalore MBC</c:v>
                </c:pt>
                <c:pt idx="1">
                  <c:v>Chennai MBC</c:v>
                </c:pt>
                <c:pt idx="2">
                  <c:v>Delhi MBC</c:v>
                </c:pt>
                <c:pt idx="3">
                  <c:v>Mumbai MBC</c:v>
                </c:pt>
              </c:strCache>
            </c:strRef>
          </c:cat>
          <c:val>
            <c:numRef>
              <c:f>'Conversion rates'!$B$6:$B$10</c:f>
              <c:numCache>
                <c:formatCode>0.00%</c:formatCode>
                <c:ptCount val="4"/>
                <c:pt idx="0">
                  <c:v>0.726235741444867</c:v>
                </c:pt>
                <c:pt idx="1">
                  <c:v>0.721698113207547</c:v>
                </c:pt>
                <c:pt idx="2">
                  <c:v>0.707224334600761</c:v>
                </c:pt>
                <c:pt idx="3">
                  <c:v>0.759541984732824</c:v>
                </c:pt>
              </c:numCache>
            </c:numRef>
          </c:val>
        </c:ser>
        <c:ser>
          <c:idx val="1"/>
          <c:order val="1"/>
          <c:tx>
            <c:strRef>
              <c:f>'Conversion rates'!$C$3:$C$5</c:f>
              <c:strCache>
                <c:ptCount val="1"/>
                <c:pt idx="0">
                  <c:v>Delivered - Yes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40000"/>
                    <a:lumOff val="60000"/>
                  </a:schemeClr>
                </a:gs>
                <a:gs pos="90000">
                  <a:schemeClr val="accent2"/>
                </a:gs>
              </a:gsLst>
              <a:lin ang="5400000" scaled="0"/>
            </a:gradFill>
            <a:ln>
              <a:gradFill>
                <a:gsLst>
                  <a:gs pos="0">
                    <a:schemeClr val="accent2"/>
                  </a:gs>
                  <a:gs pos="100000">
                    <a:schemeClr val="accent2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2">
                  <a:lumMod val="50000"/>
                  <a:alpha val="30000"/>
                </a:schemeClr>
              </a:outerShdw>
            </a:effectLst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'Conversion rates'!$A$6:$A$10</c:f>
              <c:strCache>
                <c:ptCount val="4"/>
                <c:pt idx="0">
                  <c:v>Bangalore MBC</c:v>
                </c:pt>
                <c:pt idx="1">
                  <c:v>Chennai MBC</c:v>
                </c:pt>
                <c:pt idx="2">
                  <c:v>Delhi MBC</c:v>
                </c:pt>
                <c:pt idx="3">
                  <c:v>Mumbai MBC</c:v>
                </c:pt>
              </c:strCache>
            </c:strRef>
          </c:cat>
          <c:val>
            <c:numRef>
              <c:f>'Conversion rates'!$C$6:$C$10</c:f>
              <c:numCache>
                <c:formatCode>0.00%</c:formatCode>
                <c:ptCount val="4"/>
                <c:pt idx="0">
                  <c:v>0.0798479087452472</c:v>
                </c:pt>
                <c:pt idx="1">
                  <c:v>0.0943396226415094</c:v>
                </c:pt>
                <c:pt idx="2">
                  <c:v>0.0988593155893536</c:v>
                </c:pt>
                <c:pt idx="3">
                  <c:v>0.0610687022900763</c:v>
                </c:pt>
              </c:numCache>
            </c:numRef>
          </c:val>
        </c:ser>
        <c:ser>
          <c:idx val="2"/>
          <c:order val="2"/>
          <c:tx>
            <c:strRef>
              <c:f>'Conversion rates'!$E$3:$E$5</c:f>
              <c:strCache>
                <c:ptCount val="1"/>
                <c:pt idx="0">
                  <c:v>Cancelled - Yes</c:v>
                </c:pt>
              </c:strCache>
            </c:strRef>
          </c:tx>
          <c:spPr>
            <a:gradFill>
              <a:gsLst>
                <a:gs pos="0">
                  <a:schemeClr val="accent3">
                    <a:lumMod val="40000"/>
                    <a:lumOff val="60000"/>
                  </a:schemeClr>
                </a:gs>
                <a:gs pos="90000">
                  <a:schemeClr val="accent3"/>
                </a:gs>
              </a:gsLst>
              <a:lin ang="5400000" scaled="0"/>
            </a:gradFill>
            <a:ln>
              <a:gradFill>
                <a:gsLst>
                  <a:gs pos="0">
                    <a:schemeClr val="accent3"/>
                  </a:gs>
                  <a:gs pos="100000">
                    <a:schemeClr val="accent3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3">
                  <a:lumMod val="50000"/>
                  <a:alpha val="30000"/>
                </a:schemeClr>
              </a:outerShdw>
            </a:effectLst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'Conversion rates'!$A$6:$A$10</c:f>
              <c:strCache>
                <c:ptCount val="4"/>
                <c:pt idx="0">
                  <c:v>Bangalore MBC</c:v>
                </c:pt>
                <c:pt idx="1">
                  <c:v>Chennai MBC</c:v>
                </c:pt>
                <c:pt idx="2">
                  <c:v>Delhi MBC</c:v>
                </c:pt>
                <c:pt idx="3">
                  <c:v>Mumbai MBC</c:v>
                </c:pt>
              </c:strCache>
            </c:strRef>
          </c:cat>
          <c:val>
            <c:numRef>
              <c:f>'Conversion rates'!$E$6:$E$10</c:f>
              <c:numCache>
                <c:formatCode>0.00%</c:formatCode>
                <c:ptCount val="4"/>
                <c:pt idx="0">
                  <c:v>0.193916349809886</c:v>
                </c:pt>
                <c:pt idx="1">
                  <c:v>0.183962264150943</c:v>
                </c:pt>
                <c:pt idx="2">
                  <c:v>0.193916349809886</c:v>
                </c:pt>
                <c:pt idx="3">
                  <c:v>0.179389312977099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107629951"/>
        <c:axId val="21773702"/>
      </c:barChart>
      <c:catAx>
        <c:axId val="107629951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100" b="1"/>
                  <a:t>Store Name</a:t>
                </a:r>
                <a:endParaRPr sz="1100"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1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21773702"/>
        <c:crosses val="autoZero"/>
        <c:auto val="1"/>
        <c:lblAlgn val="ctr"/>
        <c:lblOffset val="100"/>
        <c:noMultiLvlLbl val="0"/>
      </c:catAx>
      <c:valAx>
        <c:axId val="21773702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100" b="1"/>
                  <a:t>Percentage of Leads (%)</a:t>
                </a:r>
                <a:endParaRPr sz="1100" b="1"/>
              </a:p>
            </c:rich>
          </c:tx>
          <c:layout>
            <c:manualLayout>
              <c:xMode val="edge"/>
              <c:yMode val="edge"/>
              <c:x val="0.0132510942598952"/>
              <c:y val="0.269081556828085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1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107629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100" b="1" i="1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>
        <c:manualLayout>
          <c:xMode val="edge"/>
          <c:yMode val="edge"/>
          <c:x val="0.851318101933216"/>
          <c:y val="0.0923365762075439"/>
          <c:w val="0.139455184534271"/>
          <c:h val="0.315412186379928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100" b="1" i="1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ff17f2c-cf6f-4d7b-b32e-f71d26b5736d}"/>
      </c:ext>
    </c:extLst>
  </c:chart>
  <c:spPr>
    <a:solidFill>
      <a:srgbClr val="7030A0">
        <a:alpha val="6000"/>
      </a:srgbClr>
    </a:solidFill>
    <a:ln w="0" cap="flat" cmpd="sng" algn="ctr">
      <a:noFill/>
      <a:round/>
    </a:ln>
    <a:effectLst>
      <a:softEdge rad="63500"/>
    </a:effectLst>
  </c:spPr>
  <c:txPr>
    <a:bodyPr rot="0" vert="horz" anchor="t" anchorCtr="1"/>
    <a:lstStyle/>
    <a:p>
      <a:pPr>
        <a:defRPr lang="en-US" sz="1100" b="1">
          <a:solidFill>
            <a:schemeClr val="bg1"/>
          </a:solidFill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[ElectricPe_assignment1.xlsx]Average TAT!PivotTable3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32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sz="1320" b="1">
                <a:solidFill>
                  <a:schemeClr val="bg1"/>
                </a:solidFill>
              </a:rPr>
              <a:t>TAT Performance by Stage (Days)</a:t>
            </a:r>
            <a:endParaRPr sz="1320" b="1">
              <a:solidFill>
                <a:schemeClr val="bg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966432375928316"/>
          <c:y val="0.304167691604878"/>
          <c:w val="0.807662903369188"/>
          <c:h val="0.49575148469620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'Average TAT'!$B$3</c:f>
              <c:strCache>
                <c:ptCount val="1"/>
                <c:pt idx="0">
                  <c:v>Avg of Pre-booking TAT (days)</c:v>
                </c:pt>
              </c:strCache>
            </c:strRef>
          </c:tx>
          <c:spPr>
            <a:gradFill>
              <a:gsLst>
                <a:gs pos="50000">
                  <a:schemeClr val="accent1"/>
                </a:gs>
                <a:gs pos="0">
                  <a:schemeClr val="accent1">
                    <a:lumMod val="25000"/>
                    <a:lumOff val="75000"/>
                  </a:schemeClr>
                </a:gs>
                <a:gs pos="100000">
                  <a:schemeClr val="accent1">
                    <a:lumMod val="85000"/>
                  </a:schemeClr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'Average TAT'!$A$4:$A$8</c:f>
              <c:strCache>
                <c:ptCount val="4"/>
                <c:pt idx="0">
                  <c:v>Bangalore MBC</c:v>
                </c:pt>
                <c:pt idx="1">
                  <c:v>Chennai MBC</c:v>
                </c:pt>
                <c:pt idx="2">
                  <c:v>Delhi MBC</c:v>
                </c:pt>
                <c:pt idx="3">
                  <c:v>Mumbai MBC</c:v>
                </c:pt>
              </c:strCache>
            </c:strRef>
          </c:cat>
          <c:val>
            <c:numRef>
              <c:f>'Average TAT'!$B$4:$B$8</c:f>
              <c:numCache>
                <c:formatCode>0.00_);[Red]\(0.00\)</c:formatCode>
                <c:ptCount val="4"/>
                <c:pt idx="0">
                  <c:v>2.51330798479087</c:v>
                </c:pt>
                <c:pt idx="1">
                  <c:v>2.54716981132075</c:v>
                </c:pt>
                <c:pt idx="2">
                  <c:v>2.44106463878327</c:v>
                </c:pt>
                <c:pt idx="3">
                  <c:v>2.44274809160305</c:v>
                </c:pt>
              </c:numCache>
            </c:numRef>
          </c:val>
        </c:ser>
        <c:ser>
          <c:idx val="1"/>
          <c:order val="1"/>
          <c:tx>
            <c:strRef>
              <c:f>'Average TAT'!$C$3</c:f>
              <c:strCache>
                <c:ptCount val="1"/>
                <c:pt idx="0">
                  <c:v>Avg of Booking TAT (days)</c:v>
                </c:pt>
              </c:strCache>
            </c:strRef>
          </c:tx>
          <c:spPr>
            <a:gradFill>
              <a:gsLst>
                <a:gs pos="50000">
                  <a:schemeClr val="accent2"/>
                </a:gs>
                <a:gs pos="0">
                  <a:schemeClr val="accent2">
                    <a:lumMod val="25000"/>
                    <a:lumOff val="75000"/>
                  </a:schemeClr>
                </a:gs>
                <a:gs pos="100000">
                  <a:schemeClr val="accent2">
                    <a:lumMod val="85000"/>
                  </a:schemeClr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'Average TAT'!$A$4:$A$8</c:f>
              <c:strCache>
                <c:ptCount val="4"/>
                <c:pt idx="0">
                  <c:v>Bangalore MBC</c:v>
                </c:pt>
                <c:pt idx="1">
                  <c:v>Chennai MBC</c:v>
                </c:pt>
                <c:pt idx="2">
                  <c:v>Delhi MBC</c:v>
                </c:pt>
                <c:pt idx="3">
                  <c:v>Mumbai MBC</c:v>
                </c:pt>
              </c:strCache>
            </c:strRef>
          </c:cat>
          <c:val>
            <c:numRef>
              <c:f>'Average TAT'!$C$4:$C$8</c:f>
              <c:numCache>
                <c:formatCode>0.00_);[Red]\(0.00\)</c:formatCode>
                <c:ptCount val="4"/>
                <c:pt idx="0">
                  <c:v>2.44486692015209</c:v>
                </c:pt>
                <c:pt idx="1">
                  <c:v>2.61320754716981</c:v>
                </c:pt>
                <c:pt idx="2">
                  <c:v>2.43346007604563</c:v>
                </c:pt>
                <c:pt idx="3">
                  <c:v>2.5</c:v>
                </c:pt>
              </c:numCache>
            </c:numRef>
          </c:val>
        </c:ser>
        <c:ser>
          <c:idx val="2"/>
          <c:order val="2"/>
          <c:tx>
            <c:strRef>
              <c:f>'Average TAT'!$D$3</c:f>
              <c:strCache>
                <c:ptCount val="1"/>
                <c:pt idx="0">
                  <c:v>Avg of Delivery TAT (days)</c:v>
                </c:pt>
              </c:strCache>
            </c:strRef>
          </c:tx>
          <c:spPr>
            <a:gradFill>
              <a:gsLst>
                <a:gs pos="50000">
                  <a:schemeClr val="accent3"/>
                </a:gs>
                <a:gs pos="0">
                  <a:schemeClr val="accent3">
                    <a:lumMod val="25000"/>
                    <a:lumOff val="75000"/>
                  </a:schemeClr>
                </a:gs>
                <a:gs pos="100000">
                  <a:schemeClr val="accent3">
                    <a:lumMod val="85000"/>
                  </a:schemeClr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'Average TAT'!$A$4:$A$8</c:f>
              <c:strCache>
                <c:ptCount val="4"/>
                <c:pt idx="0">
                  <c:v>Bangalore MBC</c:v>
                </c:pt>
                <c:pt idx="1">
                  <c:v>Chennai MBC</c:v>
                </c:pt>
                <c:pt idx="2">
                  <c:v>Delhi MBC</c:v>
                </c:pt>
                <c:pt idx="3">
                  <c:v>Mumbai MBC</c:v>
                </c:pt>
              </c:strCache>
            </c:strRef>
          </c:cat>
          <c:val>
            <c:numRef>
              <c:f>'Average TAT'!$D$4:$D$8</c:f>
              <c:numCache>
                <c:formatCode>0.00_);[Red]\(0.00\)</c:formatCode>
                <c:ptCount val="4"/>
                <c:pt idx="0">
                  <c:v>3.63878326996198</c:v>
                </c:pt>
                <c:pt idx="1">
                  <c:v>3.58018867924528</c:v>
                </c:pt>
                <c:pt idx="2">
                  <c:v>3.45247148288973</c:v>
                </c:pt>
                <c:pt idx="3">
                  <c:v>3.79770992366412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985374736"/>
        <c:axId val="514167836"/>
      </c:barChart>
      <c:catAx>
        <c:axId val="985374736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100" b="1"/>
                  <a:t>Store Name</a:t>
                </a:r>
                <a:endParaRPr sz="1100" b="1"/>
              </a:p>
            </c:rich>
          </c:tx>
          <c:layout>
            <c:manualLayout>
              <c:xMode val="edge"/>
              <c:yMode val="edge"/>
              <c:x val="0.452301931802343"/>
              <c:y val="0.897576518958428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1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514167836"/>
        <c:crosses val="autoZero"/>
        <c:auto val="1"/>
        <c:lblAlgn val="ctr"/>
        <c:lblOffset val="100"/>
        <c:noMultiLvlLbl val="0"/>
      </c:catAx>
      <c:valAx>
        <c:axId val="514167836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100" b="1"/>
                  <a:t>Average TAT (Days)</a:t>
                </a:r>
                <a:endParaRPr sz="1100" b="1"/>
              </a:p>
            </c:rich>
          </c:tx>
          <c:layout>
            <c:manualLayout>
              <c:xMode val="edge"/>
              <c:yMode val="edge"/>
              <c:x val="0.0171188452165421"/>
              <c:y val="0.34076721017675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.00_);[Red]\(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1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985374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100" b="1" i="1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1100" b="1" i="1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US" sz="1100" b="1" i="1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>
        <c:manualLayout>
          <c:xMode val="edge"/>
          <c:yMode val="edge"/>
          <c:x val="0.698279626233517"/>
          <c:y val="0.0160677263303386"/>
          <c:w val="0.271504672081041"/>
          <c:h val="0.269523151347616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100" b="1" i="1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b5b9404-ca97-41e2-bc85-4dbaff35dd17}"/>
      </c:ext>
    </c:extLst>
  </c:chart>
  <c:spPr>
    <a:solidFill>
      <a:srgbClr val="7030A0">
        <a:alpha val="6000"/>
      </a:srgbClr>
    </a:solidFill>
    <a:ln w="9525" cap="flat" cmpd="sng" algn="ctr">
      <a:noFill/>
      <a:round/>
    </a:ln>
    <a:effectLst>
      <a:softEdge rad="63500"/>
    </a:effectLst>
  </c:spPr>
  <c:txPr>
    <a:bodyPr/>
    <a:lstStyle/>
    <a:p>
      <a:pPr>
        <a:defRPr lang="en-US" sz="1100" b="1">
          <a:solidFill>
            <a:schemeClr val="bg1"/>
          </a:solidFill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[ElectricPe_assignment1.xlsx]Cancellation Patterns!PivotTable5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32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sz="1320" b="1" i="0">
                <a:solidFill>
                  <a:schemeClr val="bg1"/>
                </a:solidFill>
              </a:rPr>
              <a:t>Cancellation trends and reasons</a:t>
            </a:r>
            <a:endParaRPr sz="1320" b="1" i="0">
              <a:solidFill>
                <a:schemeClr val="bg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599714413248867"/>
          <c:y val="0.130590551913843"/>
          <c:w val="0.767600833175535"/>
          <c:h val="0.71979353680430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'Cancellation Patterns'!$B$3:$B$4</c:f>
              <c:strCache>
                <c:ptCount val="1"/>
                <c:pt idx="0">
                  <c:v>Changed Mind</c:v>
                </c:pt>
              </c:strCache>
            </c:strRef>
          </c:tx>
          <c:spPr>
            <a:gradFill>
              <a:gsLst>
                <a:gs pos="50000">
                  <a:schemeClr val="accent1"/>
                </a:gs>
                <a:gs pos="0">
                  <a:schemeClr val="accent1">
                    <a:lumMod val="25000"/>
                    <a:lumOff val="75000"/>
                  </a:schemeClr>
                </a:gs>
                <a:gs pos="100000">
                  <a:schemeClr val="accent1">
                    <a:lumMod val="85000"/>
                  </a:schemeClr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'Cancellation Patterns'!$A$5:$A$9</c:f>
              <c:strCache>
                <c:ptCount val="4"/>
                <c:pt idx="0">
                  <c:v>Bangalore MBC</c:v>
                </c:pt>
                <c:pt idx="1">
                  <c:v>Chennai MBC</c:v>
                </c:pt>
                <c:pt idx="2">
                  <c:v>Delhi MBC</c:v>
                </c:pt>
                <c:pt idx="3">
                  <c:v>Mumbai MBC</c:v>
                </c:pt>
              </c:strCache>
            </c:strRef>
          </c:cat>
          <c:val>
            <c:numRef>
              <c:f>'Cancellation Patterns'!$B$5:$B$9</c:f>
              <c:numCache>
                <c:formatCode>General</c:formatCode>
                <c:ptCount val="4"/>
                <c:pt idx="0">
                  <c:v>13</c:v>
                </c:pt>
                <c:pt idx="1">
                  <c:v>15</c:v>
                </c:pt>
                <c:pt idx="2">
                  <c:v>14</c:v>
                </c:pt>
                <c:pt idx="3">
                  <c:v>9</c:v>
                </c:pt>
              </c:numCache>
            </c:numRef>
          </c:val>
        </c:ser>
        <c:ser>
          <c:idx val="1"/>
          <c:order val="1"/>
          <c:tx>
            <c:strRef>
              <c:f>'Cancellation Patterns'!$C$3:$C$4</c:f>
              <c:strCache>
                <c:ptCount val="1"/>
                <c:pt idx="0">
                  <c:v>Financing Issue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'Cancellation Patterns'!$A$5:$A$9</c:f>
              <c:strCache>
                <c:ptCount val="4"/>
                <c:pt idx="0">
                  <c:v>Bangalore MBC</c:v>
                </c:pt>
                <c:pt idx="1">
                  <c:v>Chennai MBC</c:v>
                </c:pt>
                <c:pt idx="2">
                  <c:v>Delhi MBC</c:v>
                </c:pt>
                <c:pt idx="3">
                  <c:v>Mumbai MBC</c:v>
                </c:pt>
              </c:strCache>
            </c:strRef>
          </c:cat>
          <c:val>
            <c:numRef>
              <c:f>'Cancellation Patterns'!$C$5:$C$9</c:f>
              <c:numCache>
                <c:formatCode>General</c:formatCode>
                <c:ptCount val="4"/>
                <c:pt idx="0">
                  <c:v>14</c:v>
                </c:pt>
                <c:pt idx="1">
                  <c:v>10</c:v>
                </c:pt>
                <c:pt idx="2">
                  <c:v>21</c:v>
                </c:pt>
                <c:pt idx="3">
                  <c:v>14</c:v>
                </c:pt>
              </c:numCache>
            </c:numRef>
          </c:val>
        </c:ser>
        <c:ser>
          <c:idx val="2"/>
          <c:order val="2"/>
          <c:tx>
            <c:strRef>
              <c:f>'Cancellation Patterns'!$D$3:$D$4</c:f>
              <c:strCache>
                <c:ptCount val="1"/>
                <c:pt idx="0">
                  <c:v>Model Unavailable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'Cancellation Patterns'!$A$5:$A$9</c:f>
              <c:strCache>
                <c:ptCount val="4"/>
                <c:pt idx="0">
                  <c:v>Bangalore MBC</c:v>
                </c:pt>
                <c:pt idx="1">
                  <c:v>Chennai MBC</c:v>
                </c:pt>
                <c:pt idx="2">
                  <c:v>Delhi MBC</c:v>
                </c:pt>
                <c:pt idx="3">
                  <c:v>Mumbai MBC</c:v>
                </c:pt>
              </c:strCache>
            </c:strRef>
          </c:cat>
          <c:val>
            <c:numRef>
              <c:f>'Cancellation Patterns'!$D$5:$D$9</c:f>
              <c:numCache>
                <c:formatCode>General</c:formatCode>
                <c:ptCount val="4"/>
                <c:pt idx="0">
                  <c:v>13</c:v>
                </c:pt>
                <c:pt idx="1">
                  <c:v>8</c:v>
                </c:pt>
                <c:pt idx="2">
                  <c:v>13</c:v>
                </c:pt>
                <c:pt idx="3">
                  <c:v>9</c:v>
                </c:pt>
              </c:numCache>
            </c:numRef>
          </c:val>
        </c:ser>
        <c:ser>
          <c:idx val="3"/>
          <c:order val="3"/>
          <c:tx>
            <c:strRef>
              <c:f>'Cancellation Patterns'!$E$3:$E$4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'Cancellation Patterns'!$A$5:$A$9</c:f>
              <c:strCache>
                <c:ptCount val="4"/>
                <c:pt idx="0">
                  <c:v>Bangalore MBC</c:v>
                </c:pt>
                <c:pt idx="1">
                  <c:v>Chennai MBC</c:v>
                </c:pt>
                <c:pt idx="2">
                  <c:v>Delhi MBC</c:v>
                </c:pt>
                <c:pt idx="3">
                  <c:v>Mumbai MBC</c:v>
                </c:pt>
              </c:strCache>
            </c:strRef>
          </c:cat>
          <c:val>
            <c:numRef>
              <c:f>'Cancellation Patterns'!$E$5:$E$9</c:f>
              <c:numCache>
                <c:formatCode>General</c:formatCode>
                <c:ptCount val="4"/>
                <c:pt idx="0">
                  <c:v>22</c:v>
                </c:pt>
                <c:pt idx="1">
                  <c:v>8</c:v>
                </c:pt>
                <c:pt idx="2">
                  <c:v>13</c:v>
                </c:pt>
                <c:pt idx="3">
                  <c:v>14</c:v>
                </c:pt>
              </c:numCache>
            </c:numRef>
          </c:val>
        </c:ser>
        <c:ser>
          <c:idx val="4"/>
          <c:order val="4"/>
          <c:tx>
            <c:strRef>
              <c:f>'Cancellation Patterns'!$F$3:$F$4</c:f>
              <c:strCache>
                <c:ptCount val="1"/>
                <c:pt idx="0">
                  <c:v>Price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'Cancellation Patterns'!$A$5:$A$9</c:f>
              <c:strCache>
                <c:ptCount val="4"/>
                <c:pt idx="0">
                  <c:v>Bangalore MBC</c:v>
                </c:pt>
                <c:pt idx="1">
                  <c:v>Chennai MBC</c:v>
                </c:pt>
                <c:pt idx="2">
                  <c:v>Delhi MBC</c:v>
                </c:pt>
                <c:pt idx="3">
                  <c:v>Mumbai MBC</c:v>
                </c:pt>
              </c:strCache>
            </c:strRef>
          </c:cat>
          <c:val>
            <c:numRef>
              <c:f>'Cancellation Patterns'!$F$5:$F$9</c:f>
              <c:numCache>
                <c:formatCode>General</c:formatCode>
                <c:ptCount val="4"/>
                <c:pt idx="0">
                  <c:v>10</c:v>
                </c:pt>
                <c:pt idx="1">
                  <c:v>18</c:v>
                </c:pt>
                <c:pt idx="2">
                  <c:v>16</c:v>
                </c:pt>
                <c:pt idx="3">
                  <c:v>17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625089927"/>
        <c:axId val="610825628"/>
      </c:barChart>
      <c:catAx>
        <c:axId val="625089927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100" b="1"/>
                  <a:t>Stores</a:t>
                </a:r>
                <a:endParaRPr sz="1100" b="1"/>
              </a:p>
            </c:rich>
          </c:tx>
          <c:layout>
            <c:manualLayout>
              <c:xMode val="edge"/>
              <c:yMode val="edge"/>
              <c:x val="0.417279388306412"/>
              <c:y val="0.925945616842552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1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610825628"/>
        <c:crosses val="autoZero"/>
        <c:auto val="1"/>
        <c:lblAlgn val="ctr"/>
        <c:lblOffset val="100"/>
        <c:noMultiLvlLbl val="0"/>
      </c:catAx>
      <c:valAx>
        <c:axId val="610825628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100" b="1"/>
                  <a:t>Count</a:t>
                </a:r>
                <a:endParaRPr sz="1100"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1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625089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100" b="1" i="1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>
        <c:manualLayout>
          <c:xMode val="edge"/>
          <c:yMode val="edge"/>
          <c:x val="0.815223286928223"/>
          <c:y val="0.0969369369369369"/>
          <c:w val="0.176369553426144"/>
          <c:h val="0.332432432432432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100" b="1" i="1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f5d673a-bdf5-4ef4-871c-0b27f0cff598}"/>
      </c:ext>
    </c:extLst>
  </c:chart>
  <c:spPr>
    <a:solidFill>
      <a:srgbClr val="7030A0">
        <a:alpha val="6000"/>
      </a:srgbClr>
    </a:solidFill>
    <a:ln w="9525" cap="flat" cmpd="sng" algn="ctr">
      <a:noFill/>
      <a:round/>
    </a:ln>
    <a:effectLst>
      <a:softEdge rad="63500"/>
    </a:effectLst>
  </c:spPr>
  <c:txPr>
    <a:bodyPr/>
    <a:lstStyle/>
    <a:p>
      <a:pPr>
        <a:defRPr lang="en-US" sz="1100" b="1">
          <a:solidFill>
            <a:schemeClr val="bg1"/>
          </a:solidFill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[ElectricPe_assignment1.xlsx]Sheet2!PivotTable1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6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sz="1600" b="1">
                <a:solidFill>
                  <a:schemeClr val="bg1"/>
                </a:solidFill>
              </a:rPr>
              <a:t>Customer Rating Distribution</a:t>
            </a:r>
            <a:endParaRPr sz="1600" b="1">
              <a:solidFill>
                <a:schemeClr val="bg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540735257637322"/>
          <c:y val="0.172281097174935"/>
          <c:w val="0.933599308464659"/>
          <c:h val="0.62578330542932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Bangalore MBC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gradFill>
                <a:gsLst>
                  <a:gs pos="50000">
                    <a:schemeClr val="accent1"/>
                  </a:gs>
                  <a:gs pos="0">
                    <a:schemeClr val="accent1">
                      <a:lumMod val="25000"/>
                      <a:lumOff val="75000"/>
                    </a:schemeClr>
                  </a:gs>
                  <a:gs pos="100000">
                    <a:schemeClr val="accent1">
                      <a:lumMod val="85000"/>
                    </a:schemeClr>
                  </a:gs>
                </a:gsLst>
                <a:lin ang="5400000" scaled="1"/>
              </a:gra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Sheet2!$A$5:$A$16</c:f>
              <c:strCach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strCache>
            </c:strRef>
          </c:cat>
          <c:val>
            <c:numRef>
              <c:f>Sheet2!$B$5:$B$16</c:f>
              <c:numCache>
                <c:formatCode>General</c:formatCode>
                <c:ptCount val="11"/>
                <c:pt idx="0">
                  <c:v>9</c:v>
                </c:pt>
                <c:pt idx="1">
                  <c:v>20</c:v>
                </c:pt>
                <c:pt idx="2">
                  <c:v>26</c:v>
                </c:pt>
                <c:pt idx="3">
                  <c:v>25</c:v>
                </c:pt>
                <c:pt idx="4">
                  <c:v>17</c:v>
                </c:pt>
                <c:pt idx="5">
                  <c:v>18</c:v>
                </c:pt>
                <c:pt idx="6">
                  <c:v>19</c:v>
                </c:pt>
                <c:pt idx="7">
                  <c:v>14</c:v>
                </c:pt>
                <c:pt idx="8">
                  <c:v>20</c:v>
                </c:pt>
                <c:pt idx="9">
                  <c:v>15</c:v>
                </c:pt>
                <c:pt idx="10">
                  <c:v>8</c:v>
                </c:pt>
              </c:numCache>
            </c:numRef>
          </c:val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Chennai MBC</c:v>
                </c:pt>
              </c:strCache>
            </c:strRef>
          </c:tx>
          <c:spPr>
            <a:gradFill>
              <a:gsLst>
                <a:gs pos="50000">
                  <a:schemeClr val="accent2"/>
                </a:gs>
                <a:gs pos="0">
                  <a:schemeClr val="accent2">
                    <a:lumMod val="25000"/>
                    <a:lumOff val="75000"/>
                  </a:schemeClr>
                </a:gs>
                <a:gs pos="100000">
                  <a:schemeClr val="accent2">
                    <a:lumMod val="85000"/>
                  </a:schemeClr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Sheet2!$A$5:$A$16</c:f>
              <c:strCach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strCache>
            </c:strRef>
          </c:cat>
          <c:val>
            <c:numRef>
              <c:f>Sheet2!$C$5:$C$16</c:f>
              <c:numCache>
                <c:formatCode>General</c:formatCode>
                <c:ptCount val="11"/>
                <c:pt idx="0">
                  <c:v>9</c:v>
                </c:pt>
                <c:pt idx="1">
                  <c:v>18</c:v>
                </c:pt>
                <c:pt idx="2">
                  <c:v>11</c:v>
                </c:pt>
                <c:pt idx="3">
                  <c:v>16</c:v>
                </c:pt>
                <c:pt idx="4">
                  <c:v>16</c:v>
                </c:pt>
                <c:pt idx="5">
                  <c:v>13</c:v>
                </c:pt>
                <c:pt idx="6">
                  <c:v>16</c:v>
                </c:pt>
                <c:pt idx="7">
                  <c:v>16</c:v>
                </c:pt>
                <c:pt idx="8">
                  <c:v>10</c:v>
                </c:pt>
                <c:pt idx="9">
                  <c:v>18</c:v>
                </c:pt>
                <c:pt idx="10">
                  <c:v>10</c:v>
                </c:pt>
              </c:numCache>
            </c:numRef>
          </c:val>
        </c:ser>
        <c:ser>
          <c:idx val="2"/>
          <c:order val="2"/>
          <c:tx>
            <c:strRef>
              <c:f>Sheet2!$D$3:$D$4</c:f>
              <c:strCache>
                <c:ptCount val="1"/>
                <c:pt idx="0">
                  <c:v>Delhi MBC</c:v>
                </c:pt>
              </c:strCache>
            </c:strRef>
          </c:tx>
          <c:spPr>
            <a:gradFill>
              <a:gsLst>
                <a:gs pos="50000">
                  <a:schemeClr val="accent3"/>
                </a:gs>
                <a:gs pos="0">
                  <a:schemeClr val="accent3">
                    <a:lumMod val="25000"/>
                    <a:lumOff val="75000"/>
                  </a:schemeClr>
                </a:gs>
                <a:gs pos="100000">
                  <a:schemeClr val="accent3">
                    <a:lumMod val="85000"/>
                  </a:schemeClr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Sheet2!$A$5:$A$16</c:f>
              <c:strCach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strCache>
            </c:strRef>
          </c:cat>
          <c:val>
            <c:numRef>
              <c:f>Sheet2!$D$5:$D$16</c:f>
              <c:numCache>
                <c:formatCode>General</c:formatCode>
                <c:ptCount val="11"/>
                <c:pt idx="0">
                  <c:v>10</c:v>
                </c:pt>
                <c:pt idx="1">
                  <c:v>21</c:v>
                </c:pt>
                <c:pt idx="2">
                  <c:v>21</c:v>
                </c:pt>
                <c:pt idx="3">
                  <c:v>16</c:v>
                </c:pt>
                <c:pt idx="4">
                  <c:v>23</c:v>
                </c:pt>
                <c:pt idx="5">
                  <c:v>10</c:v>
                </c:pt>
                <c:pt idx="6">
                  <c:v>22</c:v>
                </c:pt>
                <c:pt idx="7">
                  <c:v>19</c:v>
                </c:pt>
                <c:pt idx="8">
                  <c:v>14</c:v>
                </c:pt>
                <c:pt idx="9">
                  <c:v>19</c:v>
                </c:pt>
                <c:pt idx="10">
                  <c:v>11</c:v>
                </c:pt>
              </c:numCache>
            </c:numRef>
          </c:val>
        </c:ser>
        <c:ser>
          <c:idx val="3"/>
          <c:order val="3"/>
          <c:tx>
            <c:strRef>
              <c:f>Sheet2!$E$3:$E$4</c:f>
              <c:strCache>
                <c:ptCount val="1"/>
                <c:pt idx="0">
                  <c:v>Mumbai MBC</c:v>
                </c:pt>
              </c:strCache>
            </c:strRef>
          </c:tx>
          <c:spPr>
            <a:gradFill>
              <a:gsLst>
                <a:gs pos="50000">
                  <a:schemeClr val="accent4"/>
                </a:gs>
                <a:gs pos="0">
                  <a:schemeClr val="accent4">
                    <a:lumMod val="25000"/>
                    <a:lumOff val="75000"/>
                  </a:schemeClr>
                </a:gs>
                <a:gs pos="100000">
                  <a:schemeClr val="accent4">
                    <a:lumMod val="85000"/>
                  </a:schemeClr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Sheet2!$A$5:$A$16</c:f>
              <c:strCach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strCache>
            </c:strRef>
          </c:cat>
          <c:val>
            <c:numRef>
              <c:f>Sheet2!$E$5:$E$16</c:f>
              <c:numCache>
                <c:formatCode>General</c:formatCode>
                <c:ptCount val="11"/>
                <c:pt idx="0">
                  <c:v>8</c:v>
                </c:pt>
                <c:pt idx="1">
                  <c:v>17</c:v>
                </c:pt>
                <c:pt idx="2">
                  <c:v>25</c:v>
                </c:pt>
                <c:pt idx="3">
                  <c:v>20</c:v>
                </c:pt>
                <c:pt idx="4">
                  <c:v>24</c:v>
                </c:pt>
                <c:pt idx="5">
                  <c:v>21</c:v>
                </c:pt>
                <c:pt idx="6">
                  <c:v>23</c:v>
                </c:pt>
                <c:pt idx="7">
                  <c:v>20</c:v>
                </c:pt>
                <c:pt idx="8">
                  <c:v>18</c:v>
                </c:pt>
                <c:pt idx="9">
                  <c:v>14</c:v>
                </c:pt>
                <c:pt idx="10">
                  <c:v>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439917529"/>
        <c:axId val="248324873"/>
      </c:barChart>
      <c:catAx>
        <c:axId val="439917529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>
                    <a:solidFill>
                      <a:schemeClr val="bg1"/>
                    </a:solidFill>
                  </a:rPr>
                  <a:t>Customer Rating</a:t>
                </a:r>
                <a:endParaRPr b="1">
                  <a:solidFill>
                    <a:schemeClr val="bg1"/>
                  </a:solidFill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248324873"/>
        <c:crosses val="autoZero"/>
        <c:auto val="1"/>
        <c:lblAlgn val="ctr"/>
        <c:lblOffset val="100"/>
        <c:noMultiLvlLbl val="0"/>
      </c:catAx>
      <c:valAx>
        <c:axId val="248324873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>
                    <a:solidFill>
                      <a:schemeClr val="bg1"/>
                    </a:solidFill>
                  </a:rPr>
                  <a:t>Number of Customers</a:t>
                </a:r>
                <a:endParaRPr b="1">
                  <a:solidFill>
                    <a:schemeClr val="bg1"/>
                  </a:solidFill>
                </a:endParaRPr>
              </a:p>
            </c:rich>
          </c:tx>
          <c:layout>
            <c:manualLayout>
              <c:xMode val="edge"/>
              <c:yMode val="edge"/>
              <c:x val="0.00512229606531786"/>
              <c:y val="0.234600125568046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43991752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1" i="1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900" b="1" i="1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US" sz="900" b="1" i="1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en-US" sz="900" b="1" i="1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>
        <c:manualLayout>
          <c:xMode val="edge"/>
          <c:yMode val="edge"/>
          <c:x val="0.815754508067067"/>
          <c:y val="0.0310476506724224"/>
          <c:w val="0.110281556469472"/>
          <c:h val="0.273617798439316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1" i="1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49d3064-04be-47d9-8967-a69187319dc0}"/>
      </c:ext>
    </c:extLst>
  </c:chart>
  <c:spPr>
    <a:solidFill>
      <a:srgbClr val="7030A0">
        <a:alpha val="6000"/>
      </a:srgbClr>
    </a:solidFill>
    <a:ln w="9525" cap="flat" cmpd="sng" algn="ctr">
      <a:noFill/>
      <a:round/>
    </a:ln>
    <a:effectLst/>
  </c:spPr>
  <c:txPr>
    <a:bodyPr/>
    <a:lstStyle/>
    <a:p>
      <a:pPr>
        <a:defRPr lang="en-US" b="1">
          <a:solidFill>
            <a:schemeClr val="bg1"/>
          </a:solidFill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[ElectricPe_assignment1.xlsx]Sheet3!PivotTable2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b="1">
                <a:solidFill>
                  <a:schemeClr val="bg1"/>
                </a:solidFill>
              </a:rPr>
              <a:t> Lead Distribution by Type</a:t>
            </a:r>
            <a:endParaRPr b="1">
              <a:solidFill>
                <a:schemeClr val="bg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Sheet3!$A$4:$A$7</c:f>
              <c:strCache>
                <c:ptCount val="3"/>
                <c:pt idx="0">
                  <c:v>Cold</c:v>
                </c:pt>
                <c:pt idx="1">
                  <c:v>Hot</c:v>
                </c:pt>
                <c:pt idx="2">
                  <c:v>Warm</c:v>
                </c:pt>
              </c:strCache>
            </c:strRef>
          </c:cat>
          <c:val>
            <c:numRef>
              <c:f>Sheet3!$B$4:$B$7</c:f>
              <c:numCache>
                <c:formatCode>General</c:formatCode>
                <c:ptCount val="3"/>
                <c:pt idx="0">
                  <c:v>188</c:v>
                </c:pt>
                <c:pt idx="1">
                  <c:v>303</c:v>
                </c:pt>
                <c:pt idx="2">
                  <c:v>509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1" i="1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900" b="1" i="1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US" sz="900" b="1" i="1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>
        <c:manualLayout>
          <c:xMode val="edge"/>
          <c:yMode val="edge"/>
          <c:x val="0.847579814624099"/>
          <c:y val="0.352143138025954"/>
          <c:w val="0.117662203913491"/>
          <c:h val="0.290601651592607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1" i="1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9fa6de2-e75f-4722-bcd4-cd5732201501}"/>
      </c:ext>
    </c:extLst>
  </c:chart>
  <c:spPr>
    <a:solidFill>
      <a:srgbClr val="7030A0">
        <a:alpha val="6000"/>
      </a:srgbClr>
    </a:solidFill>
    <a:ln w="9525" cap="flat" cmpd="sng" algn="ctr">
      <a:noFill/>
      <a:round/>
    </a:ln>
    <a:effectLst/>
  </c:spPr>
  <c:txPr>
    <a:bodyPr/>
    <a:lstStyle/>
    <a:p>
      <a:pPr>
        <a:defRPr lang="en-US" b="1">
          <a:solidFill>
            <a:schemeClr val="bg1"/>
          </a:solidFill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image" Target="../media/image1.jpeg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6350</xdr:colOff>
      <xdr:row>0</xdr:row>
      <xdr:rowOff>6350</xdr:rowOff>
    </xdr:from>
    <xdr:to>
      <xdr:col>65</xdr:col>
      <xdr:colOff>419100</xdr:colOff>
      <xdr:row>112</xdr:row>
      <xdr:rowOff>3175</xdr:rowOff>
    </xdr:to>
    <xdr:pic>
      <xdr:nvPicPr>
        <xdr:cNvPr id="9" name="Picture 8" descr="dark-gradient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350" y="6350"/>
          <a:ext cx="40036750" cy="20735925"/>
        </a:xfrm>
        <a:prstGeom prst="rect">
          <a:avLst/>
        </a:prstGeom>
      </xdr:spPr>
    </xdr:pic>
    <xdr:clientData/>
  </xdr:twoCellAnchor>
  <xdr:twoCellAnchor>
    <xdr:from>
      <xdr:col>0</xdr:col>
      <xdr:colOff>262255</xdr:colOff>
      <xdr:row>3</xdr:row>
      <xdr:rowOff>18415</xdr:rowOff>
    </xdr:from>
    <xdr:to>
      <xdr:col>3</xdr:col>
      <xdr:colOff>268605</xdr:colOff>
      <xdr:row>10</xdr:row>
      <xdr:rowOff>4445</xdr:rowOff>
    </xdr:to>
    <xdr:sp>
      <xdr:nvSpPr>
        <xdr:cNvPr id="2" name="Rounded Rectangle 1"/>
        <xdr:cNvSpPr/>
      </xdr:nvSpPr>
      <xdr:spPr>
        <a:xfrm>
          <a:off x="262255" y="685165"/>
          <a:ext cx="1835150" cy="1275080"/>
        </a:xfrm>
        <a:prstGeom prst="roundRect">
          <a:avLst/>
        </a:prstGeom>
        <a:gradFill>
          <a:gsLst>
            <a:gs pos="50000">
              <a:schemeClr val="accent4"/>
            </a:gs>
            <a:gs pos="0">
              <a:schemeClr val="accent4">
                <a:lumMod val="25000"/>
                <a:lumOff val="75000"/>
              </a:schemeClr>
            </a:gs>
            <a:gs pos="100000">
              <a:schemeClr val="accent4">
                <a:lumMod val="85000"/>
              </a:schemeClr>
            </a:gs>
          </a:gsLst>
          <a:lin ang="5400000" scaled="1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p>
          <a:pPr algn="ctr"/>
          <a:r>
            <a:rPr lang="en-US" sz="1000" b="1"/>
            <a:t>Total Leads</a:t>
          </a:r>
          <a:endParaRPr lang="en-US" sz="1800" b="1"/>
        </a:p>
        <a:p>
          <a:pPr algn="ctr"/>
          <a:r>
            <a:rPr lang="en-US" sz="1800" b="1"/>
            <a:t>1000</a:t>
          </a:r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4</xdr:col>
      <xdr:colOff>66675</xdr:colOff>
      <xdr:row>3</xdr:row>
      <xdr:rowOff>24130</xdr:rowOff>
    </xdr:from>
    <xdr:to>
      <xdr:col>7</xdr:col>
      <xdr:colOff>73025</xdr:colOff>
      <xdr:row>10</xdr:row>
      <xdr:rowOff>10160</xdr:rowOff>
    </xdr:to>
    <xdr:sp>
      <xdr:nvSpPr>
        <xdr:cNvPr id="3" name="Rounded Rectangle 2"/>
        <xdr:cNvSpPr/>
      </xdr:nvSpPr>
      <xdr:spPr>
        <a:xfrm>
          <a:off x="2505075" y="690880"/>
          <a:ext cx="1835150" cy="1275080"/>
        </a:xfrm>
        <a:prstGeom prst="roundRect">
          <a:avLst/>
        </a:prstGeom>
        <a:gradFill>
          <a:gsLst>
            <a:gs pos="50000">
              <a:schemeClr val="accent3"/>
            </a:gs>
            <a:gs pos="0">
              <a:schemeClr val="accent3">
                <a:lumMod val="25000"/>
                <a:lumOff val="75000"/>
              </a:schemeClr>
            </a:gs>
            <a:gs pos="100000">
              <a:schemeClr val="accent3">
                <a:lumMod val="85000"/>
              </a:schemeClr>
            </a:gs>
          </a:gsLst>
          <a:lin ang="5400000" scaled="1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000" b="1"/>
            <a:t>Conversion Rate</a:t>
          </a:r>
          <a:endParaRPr lang="en-US" sz="1100"/>
        </a:p>
        <a:p>
          <a:pPr algn="ctr"/>
          <a:r>
            <a:rPr lang="en-US" sz="1800"/>
            <a:t>812</a:t>
          </a:r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7</xdr:col>
      <xdr:colOff>345440</xdr:colOff>
      <xdr:row>3</xdr:row>
      <xdr:rowOff>38735</xdr:rowOff>
    </xdr:from>
    <xdr:to>
      <xdr:col>10</xdr:col>
      <xdr:colOff>351790</xdr:colOff>
      <xdr:row>10</xdr:row>
      <xdr:rowOff>24765</xdr:rowOff>
    </xdr:to>
    <xdr:sp>
      <xdr:nvSpPr>
        <xdr:cNvPr id="4" name="Rounded Rectangle 3"/>
        <xdr:cNvSpPr/>
      </xdr:nvSpPr>
      <xdr:spPr>
        <a:xfrm>
          <a:off x="4612640" y="705485"/>
          <a:ext cx="1835150" cy="1275080"/>
        </a:xfrm>
        <a:prstGeom prst="roundRect">
          <a:avLst/>
        </a:prstGeom>
        <a:gradFill>
          <a:gsLst>
            <a:gs pos="50000">
              <a:schemeClr val="accent1"/>
            </a:gs>
            <a:gs pos="0">
              <a:schemeClr val="accent1">
                <a:lumMod val="25000"/>
                <a:lumOff val="75000"/>
              </a:schemeClr>
            </a:gs>
            <a:gs pos="100000">
              <a:schemeClr val="accent1">
                <a:lumMod val="85000"/>
              </a:schemeClr>
            </a:gs>
          </a:gsLst>
          <a:lin ang="5400000" scaled="1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000" b="1"/>
            <a:t>Avg Delivery TAT</a:t>
          </a:r>
          <a:endParaRPr lang="en-US" sz="1800" b="1"/>
        </a:p>
        <a:p>
          <a:pPr algn="ctr"/>
          <a:r>
            <a:rPr lang="en-US" sz="1800"/>
            <a:t>3.62</a:t>
          </a:r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11</xdr:col>
      <xdr:colOff>38100</xdr:colOff>
      <xdr:row>3</xdr:row>
      <xdr:rowOff>38100</xdr:rowOff>
    </xdr:from>
    <xdr:to>
      <xdr:col>14</xdr:col>
      <xdr:colOff>44450</xdr:colOff>
      <xdr:row>10</xdr:row>
      <xdr:rowOff>24130</xdr:rowOff>
    </xdr:to>
    <xdr:sp>
      <xdr:nvSpPr>
        <xdr:cNvPr id="5" name="Rounded Rectangle 4"/>
        <xdr:cNvSpPr/>
      </xdr:nvSpPr>
      <xdr:spPr>
        <a:xfrm>
          <a:off x="6743700" y="704850"/>
          <a:ext cx="1835150" cy="1275080"/>
        </a:xfrm>
        <a:prstGeom prst="roundRect">
          <a:avLst/>
        </a:prstGeom>
        <a:gradFill>
          <a:gsLst>
            <a:gs pos="50000">
              <a:schemeClr val="accent2"/>
            </a:gs>
            <a:gs pos="0">
              <a:schemeClr val="accent2">
                <a:lumMod val="25000"/>
                <a:lumOff val="75000"/>
              </a:schemeClr>
            </a:gs>
            <a:gs pos="100000">
              <a:schemeClr val="accent2">
                <a:lumMod val="85000"/>
              </a:schemeClr>
            </a:gs>
          </a:gsLst>
          <a:lin ang="5400000" scaled="1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000" b="1"/>
            <a:t>Cancellation Rate</a:t>
          </a:r>
          <a:endParaRPr lang="en-US" sz="1800" b="1"/>
        </a:p>
        <a:p>
          <a:pPr algn="ctr"/>
          <a:r>
            <a:rPr lang="en-US" sz="1800"/>
            <a:t>0%</a:t>
          </a:r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14</xdr:col>
      <xdr:colOff>336550</xdr:colOff>
      <xdr:row>3</xdr:row>
      <xdr:rowOff>48260</xdr:rowOff>
    </xdr:from>
    <xdr:to>
      <xdr:col>17</xdr:col>
      <xdr:colOff>342900</xdr:colOff>
      <xdr:row>10</xdr:row>
      <xdr:rowOff>34290</xdr:rowOff>
    </xdr:to>
    <xdr:sp>
      <xdr:nvSpPr>
        <xdr:cNvPr id="6" name="Rounded Rectangle 5"/>
        <xdr:cNvSpPr/>
      </xdr:nvSpPr>
      <xdr:spPr>
        <a:xfrm>
          <a:off x="8870950" y="715010"/>
          <a:ext cx="1835150" cy="1275080"/>
        </a:xfrm>
        <a:prstGeom prst="roundRect">
          <a:avLst/>
        </a:prstGeom>
        <a:gradFill>
          <a:gsLst>
            <a:gs pos="50000">
              <a:schemeClr val="accent6"/>
            </a:gs>
            <a:gs pos="0">
              <a:schemeClr val="accent6">
                <a:lumMod val="25000"/>
                <a:lumOff val="75000"/>
              </a:schemeClr>
            </a:gs>
            <a:gs pos="100000">
              <a:schemeClr val="accent6">
                <a:lumMod val="85000"/>
              </a:schemeClr>
            </a:gs>
          </a:gsLst>
          <a:lin ang="5400000" scaled="1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000" b="1"/>
            <a:t>Overall NPS</a:t>
          </a:r>
          <a:endParaRPr lang="en-US" sz="1800" b="1"/>
        </a:p>
        <a:p>
          <a:pPr algn="ctr"/>
          <a:r>
            <a:rPr lang="en-US" sz="1800" b="1"/>
            <a:t>-66.1%</a:t>
          </a:r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0</xdr:col>
      <xdr:colOff>196850</xdr:colOff>
      <xdr:row>0</xdr:row>
      <xdr:rowOff>78740</xdr:rowOff>
    </xdr:from>
    <xdr:to>
      <xdr:col>43</xdr:col>
      <xdr:colOff>224155</xdr:colOff>
      <xdr:row>1</xdr:row>
      <xdr:rowOff>156845</xdr:rowOff>
    </xdr:to>
    <xdr:sp>
      <xdr:nvSpPr>
        <xdr:cNvPr id="10" name="Text Box 9"/>
        <xdr:cNvSpPr txBox="1"/>
      </xdr:nvSpPr>
      <xdr:spPr>
        <a:xfrm>
          <a:off x="196850" y="78740"/>
          <a:ext cx="26240105" cy="376555"/>
        </a:xfrm>
        <a:prstGeom prst="rect">
          <a:avLst/>
        </a:prstGeom>
        <a:solidFill>
          <a:srgbClr val="7030A0">
            <a:alpha val="43000"/>
          </a:srgbClr>
        </a:solidFill>
        <a:ln w="9525" cmpd="sng">
          <a:solidFill>
            <a:schemeClr val="lt1">
              <a:shade val="50000"/>
            </a:schemeClr>
          </a:solidFill>
        </a:ln>
        <a:effectLst>
          <a:softEdge rad="31750"/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ctr"/>
          <a:r>
            <a:rPr lang="en-US" sz="2000" b="1">
              <a:solidFill>
                <a:schemeClr val="bg1"/>
              </a:solidFill>
            </a:rPr>
            <a:t>Lead-to-Delivery Funnel Analysis &amp; Dashboarding</a:t>
          </a:r>
          <a:endParaRPr lang="en-US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224155</xdr:colOff>
      <xdr:row>12</xdr:row>
      <xdr:rowOff>116840</xdr:rowOff>
    </xdr:from>
    <xdr:to>
      <xdr:col>12</xdr:col>
      <xdr:colOff>107315</xdr:colOff>
      <xdr:row>32</xdr:row>
      <xdr:rowOff>142875</xdr:rowOff>
    </xdr:to>
    <xdr:graphicFrame>
      <xdr:nvGraphicFramePr>
        <xdr:cNvPr id="11" name="Chart 10"/>
        <xdr:cNvGraphicFramePr/>
      </xdr:nvGraphicFramePr>
      <xdr:xfrm>
        <a:off x="224155" y="2440940"/>
        <a:ext cx="7198360" cy="37090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135890</xdr:colOff>
      <xdr:row>12</xdr:row>
      <xdr:rowOff>133985</xdr:rowOff>
    </xdr:from>
    <xdr:to>
      <xdr:col>24</xdr:col>
      <xdr:colOff>64770</xdr:colOff>
      <xdr:row>32</xdr:row>
      <xdr:rowOff>114935</xdr:rowOff>
    </xdr:to>
    <xdr:graphicFrame>
      <xdr:nvGraphicFramePr>
        <xdr:cNvPr id="14" name="Chart 13"/>
        <xdr:cNvGraphicFramePr/>
      </xdr:nvGraphicFramePr>
      <xdr:xfrm>
        <a:off x="7451090" y="2458085"/>
        <a:ext cx="7244080" cy="36639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100965</xdr:colOff>
      <xdr:row>13</xdr:row>
      <xdr:rowOff>29845</xdr:rowOff>
    </xdr:from>
    <xdr:to>
      <xdr:col>35</xdr:col>
      <xdr:colOff>394335</xdr:colOff>
      <xdr:row>32</xdr:row>
      <xdr:rowOff>43815</xdr:rowOff>
    </xdr:to>
    <xdr:graphicFrame>
      <xdr:nvGraphicFramePr>
        <xdr:cNvPr id="15" name="Chart 14"/>
        <xdr:cNvGraphicFramePr/>
      </xdr:nvGraphicFramePr>
      <xdr:xfrm>
        <a:off x="14731365" y="2538095"/>
        <a:ext cx="6998970" cy="35128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351790</xdr:colOff>
      <xdr:row>32</xdr:row>
      <xdr:rowOff>178435</xdr:rowOff>
    </xdr:from>
    <xdr:to>
      <xdr:col>17</xdr:col>
      <xdr:colOff>24765</xdr:colOff>
      <xdr:row>53</xdr:row>
      <xdr:rowOff>8890</xdr:rowOff>
    </xdr:to>
    <xdr:graphicFrame>
      <xdr:nvGraphicFramePr>
        <xdr:cNvPr id="7" name="Chart 6"/>
        <xdr:cNvGraphicFramePr/>
      </xdr:nvGraphicFramePr>
      <xdr:xfrm>
        <a:off x="351790" y="6185535"/>
        <a:ext cx="10036175" cy="36976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206375</xdr:colOff>
      <xdr:row>32</xdr:row>
      <xdr:rowOff>182245</xdr:rowOff>
    </xdr:from>
    <xdr:to>
      <xdr:col>25</xdr:col>
      <xdr:colOff>228600</xdr:colOff>
      <xdr:row>50</xdr:row>
      <xdr:rowOff>173355</xdr:rowOff>
    </xdr:to>
    <xdr:graphicFrame>
      <xdr:nvGraphicFramePr>
        <xdr:cNvPr id="12" name="Chart 11"/>
        <xdr:cNvGraphicFramePr/>
      </xdr:nvGraphicFramePr>
      <xdr:xfrm>
        <a:off x="10569575" y="6189345"/>
        <a:ext cx="4899025" cy="33058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24</xdr:col>
      <xdr:colOff>594995</xdr:colOff>
      <xdr:row>3</xdr:row>
      <xdr:rowOff>120015</xdr:rowOff>
    </xdr:from>
    <xdr:to>
      <xdr:col>27</xdr:col>
      <xdr:colOff>594995</xdr:colOff>
      <xdr:row>11</xdr:row>
      <xdr:rowOff>112395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3" name="Store Nam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ore Nam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225395" y="786765"/>
              <a:ext cx="1828800" cy="14655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21</xdr:col>
      <xdr:colOff>391795</xdr:colOff>
      <xdr:row>3</xdr:row>
      <xdr:rowOff>133350</xdr:rowOff>
    </xdr:from>
    <xdr:to>
      <xdr:col>24</xdr:col>
      <xdr:colOff>391795</xdr:colOff>
      <xdr:row>11</xdr:row>
      <xdr:rowOff>134620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6" name="Lead Typ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Lead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193395" y="800100"/>
              <a:ext cx="1828800" cy="14744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18</xdr:col>
      <xdr:colOff>29845</xdr:colOff>
      <xdr:row>3</xdr:row>
      <xdr:rowOff>129540</xdr:rowOff>
    </xdr:from>
    <xdr:to>
      <xdr:col>21</xdr:col>
      <xdr:colOff>29845</xdr:colOff>
      <xdr:row>11</xdr:row>
      <xdr:rowOff>140970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9" name="Lead Status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Lead Statu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002645" y="796290"/>
              <a:ext cx="1828800" cy="14846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964.0223958333" refreshedBy="KIIT" recordCount="1000">
  <cacheSource type="worksheet">
    <worksheetSource ref="A1:R1001" sheet="Main data"/>
  </cacheSource>
  <cacheFields count="18">
    <cacheField name="Lead ID" numFmtId="0">
      <sharedItems count="1000">
        <s v="L1000"/>
        <s v="L1001"/>
        <s v="L1002"/>
        <s v="L1003"/>
        <s v="L1004"/>
        <s v="L1005"/>
        <s v="L1006"/>
        <s v="L1007"/>
        <s v="L1008"/>
        <s v="L1009"/>
        <s v="L1010"/>
        <s v="L1011"/>
        <s v="L1012"/>
        <s v="L1013"/>
        <s v="L1014"/>
        <s v="L1015"/>
        <s v="L1016"/>
        <s v="L1017"/>
        <s v="L1018"/>
        <s v="L1019"/>
        <s v="L1020"/>
        <s v="L1021"/>
        <s v="L1022"/>
        <s v="L1023"/>
        <s v="L1024"/>
        <s v="L1025"/>
        <s v="L1026"/>
        <s v="L1027"/>
        <s v="L1028"/>
        <s v="L1029"/>
        <s v="L1030"/>
        <s v="L1031"/>
        <s v="L1032"/>
        <s v="L1033"/>
        <s v="L1034"/>
        <s v="L1035"/>
        <s v="L1036"/>
        <s v="L1037"/>
        <s v="L1038"/>
        <s v="L1039"/>
        <s v="L1040"/>
        <s v="L1041"/>
        <s v="L1042"/>
        <s v="L1043"/>
        <s v="L1044"/>
        <s v="L1045"/>
        <s v="L1046"/>
        <s v="L1047"/>
        <s v="L1048"/>
        <s v="L1049"/>
        <s v="L1050"/>
        <s v="L1051"/>
        <s v="L1052"/>
        <s v="L1053"/>
        <s v="L1054"/>
        <s v="L1055"/>
        <s v="L1056"/>
        <s v="L1057"/>
        <s v="L1058"/>
        <s v="L1059"/>
        <s v="L1060"/>
        <s v="L1061"/>
        <s v="L1062"/>
        <s v="L1063"/>
        <s v="L1064"/>
        <s v="L1065"/>
        <s v="L1066"/>
        <s v="L1067"/>
        <s v="L1068"/>
        <s v="L1069"/>
        <s v="L1070"/>
        <s v="L1071"/>
        <s v="L1072"/>
        <s v="L1073"/>
        <s v="L1074"/>
        <s v="L1075"/>
        <s v="L1076"/>
        <s v="L1077"/>
        <s v="L1078"/>
        <s v="L1079"/>
        <s v="L1080"/>
        <s v="L1081"/>
        <s v="L1082"/>
        <s v="L1083"/>
        <s v="L1084"/>
        <s v="L1085"/>
        <s v="L1086"/>
        <s v="L1087"/>
        <s v="L1088"/>
        <s v="L1089"/>
        <s v="L1090"/>
        <s v="L1091"/>
        <s v="L1092"/>
        <s v="L1093"/>
        <s v="L1094"/>
        <s v="L1095"/>
        <s v="L1096"/>
        <s v="L1097"/>
        <s v="L1098"/>
        <s v="L1099"/>
        <s v="L1100"/>
        <s v="L1101"/>
        <s v="L1102"/>
        <s v="L1103"/>
        <s v="L1104"/>
        <s v="L1105"/>
        <s v="L1106"/>
        <s v="L1107"/>
        <s v="L1108"/>
        <s v="L1109"/>
        <s v="L1110"/>
        <s v="L1111"/>
        <s v="L1112"/>
        <s v="L1113"/>
        <s v="L1114"/>
        <s v="L1115"/>
        <s v="L1116"/>
        <s v="L1117"/>
        <s v="L1118"/>
        <s v="L1119"/>
        <s v="L1120"/>
        <s v="L1121"/>
        <s v="L1122"/>
        <s v="L1123"/>
        <s v="L1124"/>
        <s v="L1125"/>
        <s v="L1126"/>
        <s v="L1127"/>
        <s v="L1128"/>
        <s v="L1129"/>
        <s v="L1130"/>
        <s v="L1131"/>
        <s v="L1132"/>
        <s v="L1133"/>
        <s v="L1134"/>
        <s v="L1135"/>
        <s v="L1136"/>
        <s v="L1137"/>
        <s v="L1138"/>
        <s v="L1139"/>
        <s v="L1140"/>
        <s v="L1141"/>
        <s v="L1142"/>
        <s v="L1143"/>
        <s v="L1144"/>
        <s v="L1145"/>
        <s v="L1146"/>
        <s v="L1147"/>
        <s v="L1148"/>
        <s v="L1149"/>
        <s v="L1150"/>
        <s v="L1151"/>
        <s v="L1152"/>
        <s v="L1153"/>
        <s v="L1154"/>
        <s v="L1155"/>
        <s v="L1156"/>
        <s v="L1157"/>
        <s v="L1158"/>
        <s v="L1159"/>
        <s v="L1160"/>
        <s v="L1161"/>
        <s v="L1162"/>
        <s v="L1163"/>
        <s v="L1164"/>
        <s v="L1165"/>
        <s v="L1166"/>
        <s v="L1167"/>
        <s v="L1168"/>
        <s v="L1169"/>
        <s v="L1170"/>
        <s v="L1171"/>
        <s v="L1172"/>
        <s v="L1173"/>
        <s v="L1174"/>
        <s v="L1175"/>
        <s v="L1176"/>
        <s v="L1177"/>
        <s v="L1178"/>
        <s v="L1179"/>
        <s v="L1180"/>
        <s v="L1181"/>
        <s v="L1182"/>
        <s v="L1183"/>
        <s v="L1184"/>
        <s v="L1185"/>
        <s v="L1186"/>
        <s v="L1187"/>
        <s v="L1188"/>
        <s v="L1189"/>
        <s v="L1190"/>
        <s v="L1191"/>
        <s v="L1192"/>
        <s v="L1193"/>
        <s v="L1194"/>
        <s v="L1195"/>
        <s v="L1196"/>
        <s v="L1197"/>
        <s v="L1198"/>
        <s v="L1199"/>
        <s v="L1200"/>
        <s v="L1201"/>
        <s v="L1202"/>
        <s v="L1203"/>
        <s v="L1204"/>
        <s v="L1205"/>
        <s v="L1206"/>
        <s v="L1207"/>
        <s v="L1208"/>
        <s v="L1209"/>
        <s v="L1210"/>
        <s v="L1211"/>
        <s v="L1212"/>
        <s v="L1213"/>
        <s v="L1214"/>
        <s v="L1215"/>
        <s v="L1216"/>
        <s v="L1217"/>
        <s v="L1218"/>
        <s v="L1219"/>
        <s v="L1220"/>
        <s v="L1221"/>
        <s v="L1222"/>
        <s v="L1223"/>
        <s v="L1224"/>
        <s v="L1225"/>
        <s v="L1226"/>
        <s v="L1227"/>
        <s v="L1228"/>
        <s v="L1229"/>
        <s v="L1230"/>
        <s v="L1231"/>
        <s v="L1232"/>
        <s v="L1233"/>
        <s v="L1234"/>
        <s v="L1235"/>
        <s v="L1236"/>
        <s v="L1237"/>
        <s v="L1238"/>
        <s v="L1239"/>
        <s v="L1240"/>
        <s v="L1241"/>
        <s v="L1242"/>
        <s v="L1243"/>
        <s v="L1244"/>
        <s v="L1245"/>
        <s v="L1246"/>
        <s v="L1247"/>
        <s v="L1248"/>
        <s v="L1249"/>
        <s v="L1250"/>
        <s v="L1251"/>
        <s v="L1252"/>
        <s v="L1253"/>
        <s v="L1254"/>
        <s v="L1255"/>
        <s v="L1256"/>
        <s v="L1257"/>
        <s v="L1258"/>
        <s v="L1259"/>
        <s v="L1260"/>
        <s v="L1261"/>
        <s v="L1262"/>
        <s v="L1263"/>
        <s v="L1264"/>
        <s v="L1265"/>
        <s v="L1266"/>
        <s v="L1267"/>
        <s v="L1268"/>
        <s v="L1269"/>
        <s v="L1270"/>
        <s v="L1271"/>
        <s v="L1272"/>
        <s v="L1273"/>
        <s v="L1274"/>
        <s v="L1275"/>
        <s v="L1276"/>
        <s v="L1277"/>
        <s v="L1278"/>
        <s v="L1279"/>
        <s v="L1280"/>
        <s v="L1281"/>
        <s v="L1282"/>
        <s v="L1283"/>
        <s v="L1284"/>
        <s v="L1285"/>
        <s v="L1286"/>
        <s v="L1287"/>
        <s v="L1288"/>
        <s v="L1289"/>
        <s v="L1290"/>
        <s v="L1291"/>
        <s v="L1292"/>
        <s v="L1293"/>
        <s v="L1294"/>
        <s v="L1295"/>
        <s v="L1296"/>
        <s v="L1297"/>
        <s v="L1298"/>
        <s v="L1299"/>
        <s v="L1300"/>
        <s v="L1301"/>
        <s v="L1302"/>
        <s v="L1303"/>
        <s v="L1304"/>
        <s v="L1305"/>
        <s v="L1306"/>
        <s v="L1307"/>
        <s v="L1308"/>
        <s v="L1309"/>
        <s v="L1310"/>
        <s v="L1311"/>
        <s v="L1312"/>
        <s v="L1313"/>
        <s v="L1314"/>
        <s v="L1315"/>
        <s v="L1316"/>
        <s v="L1317"/>
        <s v="L1318"/>
        <s v="L1319"/>
        <s v="L1320"/>
        <s v="L1321"/>
        <s v="L1322"/>
        <s v="L1323"/>
        <s v="L1324"/>
        <s v="L1325"/>
        <s v="L1326"/>
        <s v="L1327"/>
        <s v="L1328"/>
        <s v="L1329"/>
        <s v="L1330"/>
        <s v="L1331"/>
        <s v="L1332"/>
        <s v="L1333"/>
        <s v="L1334"/>
        <s v="L1335"/>
        <s v="L1336"/>
        <s v="L1337"/>
        <s v="L1338"/>
        <s v="L1339"/>
        <s v="L1340"/>
        <s v="L1341"/>
        <s v="L1342"/>
        <s v="L1343"/>
        <s v="L1344"/>
        <s v="L1345"/>
        <s v="L1346"/>
        <s v="L1347"/>
        <s v="L1348"/>
        <s v="L1349"/>
        <s v="L1350"/>
        <s v="L1351"/>
        <s v="L1352"/>
        <s v="L1353"/>
        <s v="L1354"/>
        <s v="L1355"/>
        <s v="L1356"/>
        <s v="L1357"/>
        <s v="L1358"/>
        <s v="L1359"/>
        <s v="L1360"/>
        <s v="L1361"/>
        <s v="L1362"/>
        <s v="L1363"/>
        <s v="L1364"/>
        <s v="L1365"/>
        <s v="L1366"/>
        <s v="L1367"/>
        <s v="L1368"/>
        <s v="L1369"/>
        <s v="L1370"/>
        <s v="L1371"/>
        <s v="L1372"/>
        <s v="L1373"/>
        <s v="L1374"/>
        <s v="L1375"/>
        <s v="L1376"/>
        <s v="L1377"/>
        <s v="L1378"/>
        <s v="L1379"/>
        <s v="L1380"/>
        <s v="L1381"/>
        <s v="L1382"/>
        <s v="L1383"/>
        <s v="L1384"/>
        <s v="L1385"/>
        <s v="L1386"/>
        <s v="L1387"/>
        <s v="L1388"/>
        <s v="L1389"/>
        <s v="L1390"/>
        <s v="L1391"/>
        <s v="L1392"/>
        <s v="L1393"/>
        <s v="L1394"/>
        <s v="L1395"/>
        <s v="L1396"/>
        <s v="L1397"/>
        <s v="L1398"/>
        <s v="L1399"/>
        <s v="L1400"/>
        <s v="L1401"/>
        <s v="L1402"/>
        <s v="L1403"/>
        <s v="L1404"/>
        <s v="L1405"/>
        <s v="L1406"/>
        <s v="L1407"/>
        <s v="L1408"/>
        <s v="L1409"/>
        <s v="L1410"/>
        <s v="L1411"/>
        <s v="L1412"/>
        <s v="L1413"/>
        <s v="L1414"/>
        <s v="L1415"/>
        <s v="L1416"/>
        <s v="L1417"/>
        <s v="L1418"/>
        <s v="L1419"/>
        <s v="L1420"/>
        <s v="L1421"/>
        <s v="L1422"/>
        <s v="L1423"/>
        <s v="L1424"/>
        <s v="L1425"/>
        <s v="L1426"/>
        <s v="L1427"/>
        <s v="L1428"/>
        <s v="L1429"/>
        <s v="L1430"/>
        <s v="L1431"/>
        <s v="L1432"/>
        <s v="L1433"/>
        <s v="L1434"/>
        <s v="L1435"/>
        <s v="L1436"/>
        <s v="L1437"/>
        <s v="L1438"/>
        <s v="L1439"/>
        <s v="L1440"/>
        <s v="L1441"/>
        <s v="L1442"/>
        <s v="L1443"/>
        <s v="L1444"/>
        <s v="L1445"/>
        <s v="L1446"/>
        <s v="L1447"/>
        <s v="L1448"/>
        <s v="L1449"/>
        <s v="L1450"/>
        <s v="L1451"/>
        <s v="L1452"/>
        <s v="L1453"/>
        <s v="L1454"/>
        <s v="L1455"/>
        <s v="L1456"/>
        <s v="L1457"/>
        <s v="L1458"/>
        <s v="L1459"/>
        <s v="L1460"/>
        <s v="L1461"/>
        <s v="L1462"/>
        <s v="L1463"/>
        <s v="L1464"/>
        <s v="L1465"/>
        <s v="L1466"/>
        <s v="L1467"/>
        <s v="L1468"/>
        <s v="L1469"/>
        <s v="L1470"/>
        <s v="L1471"/>
        <s v="L1472"/>
        <s v="L1473"/>
        <s v="L1474"/>
        <s v="L1475"/>
        <s v="L1476"/>
        <s v="L1477"/>
        <s v="L1478"/>
        <s v="L1479"/>
        <s v="L1480"/>
        <s v="L1481"/>
        <s v="L1482"/>
        <s v="L1483"/>
        <s v="L1484"/>
        <s v="L1485"/>
        <s v="L1486"/>
        <s v="L1487"/>
        <s v="L1488"/>
        <s v="L1489"/>
        <s v="L1490"/>
        <s v="L1491"/>
        <s v="L1492"/>
        <s v="L1493"/>
        <s v="L1494"/>
        <s v="L1495"/>
        <s v="L1496"/>
        <s v="L1497"/>
        <s v="L1498"/>
        <s v="L1499"/>
        <s v="L1500"/>
        <s v="L1501"/>
        <s v="L1502"/>
        <s v="L1503"/>
        <s v="L1504"/>
        <s v="L1505"/>
        <s v="L1506"/>
        <s v="L1507"/>
        <s v="L1508"/>
        <s v="L1509"/>
        <s v="L1510"/>
        <s v="L1511"/>
        <s v="L1512"/>
        <s v="L1513"/>
        <s v="L1514"/>
        <s v="L1515"/>
        <s v="L1516"/>
        <s v="L1517"/>
        <s v="L1518"/>
        <s v="L1519"/>
        <s v="L1520"/>
        <s v="L1521"/>
        <s v="L1522"/>
        <s v="L1523"/>
        <s v="L1524"/>
        <s v="L1525"/>
        <s v="L1526"/>
        <s v="L1527"/>
        <s v="L1528"/>
        <s v="L1529"/>
        <s v="L1530"/>
        <s v="L1531"/>
        <s v="L1532"/>
        <s v="L1533"/>
        <s v="L1534"/>
        <s v="L1535"/>
        <s v="L1536"/>
        <s v="L1537"/>
        <s v="L1538"/>
        <s v="L1539"/>
        <s v="L1540"/>
        <s v="L1541"/>
        <s v="L1542"/>
        <s v="L1543"/>
        <s v="L1544"/>
        <s v="L1545"/>
        <s v="L1546"/>
        <s v="L1547"/>
        <s v="L1548"/>
        <s v="L1549"/>
        <s v="L1550"/>
        <s v="L1551"/>
        <s v="L1552"/>
        <s v="L1553"/>
        <s v="L1554"/>
        <s v="L1555"/>
        <s v="L1556"/>
        <s v="L1557"/>
        <s v="L1558"/>
        <s v="L1559"/>
        <s v="L1560"/>
        <s v="L1561"/>
        <s v="L1562"/>
        <s v="L1563"/>
        <s v="L1564"/>
        <s v="L1565"/>
        <s v="L1566"/>
        <s v="L1567"/>
        <s v="L1568"/>
        <s v="L1569"/>
        <s v="L1570"/>
        <s v="L1571"/>
        <s v="L1572"/>
        <s v="L1573"/>
        <s v="L1574"/>
        <s v="L1575"/>
        <s v="L1576"/>
        <s v="L1577"/>
        <s v="L1578"/>
        <s v="L1579"/>
        <s v="L1580"/>
        <s v="L1581"/>
        <s v="L1582"/>
        <s v="L1583"/>
        <s v="L1584"/>
        <s v="L1585"/>
        <s v="L1586"/>
        <s v="L1587"/>
        <s v="L1588"/>
        <s v="L1589"/>
        <s v="L1590"/>
        <s v="L1591"/>
        <s v="L1592"/>
        <s v="L1593"/>
        <s v="L1594"/>
        <s v="L1595"/>
        <s v="L1596"/>
        <s v="L1597"/>
        <s v="L1598"/>
        <s v="L1599"/>
        <s v="L1600"/>
        <s v="L1601"/>
        <s v="L1602"/>
        <s v="L1603"/>
        <s v="L1604"/>
        <s v="L1605"/>
        <s v="L1606"/>
        <s v="L1607"/>
        <s v="L1608"/>
        <s v="L1609"/>
        <s v="L1610"/>
        <s v="L1611"/>
        <s v="L1612"/>
        <s v="L1613"/>
        <s v="L1614"/>
        <s v="L1615"/>
        <s v="L1616"/>
        <s v="L1617"/>
        <s v="L1618"/>
        <s v="L1619"/>
        <s v="L1620"/>
        <s v="L1621"/>
        <s v="L1622"/>
        <s v="L1623"/>
        <s v="L1624"/>
        <s v="L1625"/>
        <s v="L1626"/>
        <s v="L1627"/>
        <s v="L1628"/>
        <s v="L1629"/>
        <s v="L1630"/>
        <s v="L1631"/>
        <s v="L1632"/>
        <s v="L1633"/>
        <s v="L1634"/>
        <s v="L1635"/>
        <s v="L1636"/>
        <s v="L1637"/>
        <s v="L1638"/>
        <s v="L1639"/>
        <s v="L1640"/>
        <s v="L1641"/>
        <s v="L1642"/>
        <s v="L1643"/>
        <s v="L1644"/>
        <s v="L1645"/>
        <s v="L1646"/>
        <s v="L1647"/>
        <s v="L1648"/>
        <s v="L1649"/>
        <s v="L1650"/>
        <s v="L1651"/>
        <s v="L1652"/>
        <s v="L1653"/>
        <s v="L1654"/>
        <s v="L1655"/>
        <s v="L1656"/>
        <s v="L1657"/>
        <s v="L1658"/>
        <s v="L1659"/>
        <s v="L1660"/>
        <s v="L1661"/>
        <s v="L1662"/>
        <s v="L1663"/>
        <s v="L1664"/>
        <s v="L1665"/>
        <s v="L1666"/>
        <s v="L1667"/>
        <s v="L1668"/>
        <s v="L1669"/>
        <s v="L1670"/>
        <s v="L1671"/>
        <s v="L1672"/>
        <s v="L1673"/>
        <s v="L1674"/>
        <s v="L1675"/>
        <s v="L1676"/>
        <s v="L1677"/>
        <s v="L1678"/>
        <s v="L1679"/>
        <s v="L1680"/>
        <s v="L1681"/>
        <s v="L1682"/>
        <s v="L1683"/>
        <s v="L1684"/>
        <s v="L1685"/>
        <s v="L1686"/>
        <s v="L1687"/>
        <s v="L1688"/>
        <s v="L1689"/>
        <s v="L1690"/>
        <s v="L1691"/>
        <s v="L1692"/>
        <s v="L1693"/>
        <s v="L1694"/>
        <s v="L1695"/>
        <s v="L1696"/>
        <s v="L1697"/>
        <s v="L1698"/>
        <s v="L1699"/>
        <s v="L1700"/>
        <s v="L1701"/>
        <s v="L1702"/>
        <s v="L1703"/>
        <s v="L1704"/>
        <s v="L1705"/>
        <s v="L1706"/>
        <s v="L1707"/>
        <s v="L1708"/>
        <s v="L1709"/>
        <s v="L1710"/>
        <s v="L1711"/>
        <s v="L1712"/>
        <s v="L1713"/>
        <s v="L1714"/>
        <s v="L1715"/>
        <s v="L1716"/>
        <s v="L1717"/>
        <s v="L1718"/>
        <s v="L1719"/>
        <s v="L1720"/>
        <s v="L1721"/>
        <s v="L1722"/>
        <s v="L1723"/>
        <s v="L1724"/>
        <s v="L1725"/>
        <s v="L1726"/>
        <s v="L1727"/>
        <s v="L1728"/>
        <s v="L1729"/>
        <s v="L1730"/>
        <s v="L1731"/>
        <s v="L1732"/>
        <s v="L1733"/>
        <s v="L1734"/>
        <s v="L1735"/>
        <s v="L1736"/>
        <s v="L1737"/>
        <s v="L1738"/>
        <s v="L1739"/>
        <s v="L1740"/>
        <s v="L1741"/>
        <s v="L1742"/>
        <s v="L1743"/>
        <s v="L1744"/>
        <s v="L1745"/>
        <s v="L1746"/>
        <s v="L1747"/>
        <s v="L1748"/>
        <s v="L1749"/>
        <s v="L1750"/>
        <s v="L1751"/>
        <s v="L1752"/>
        <s v="L1753"/>
        <s v="L1754"/>
        <s v="L1755"/>
        <s v="L1756"/>
        <s v="L1757"/>
        <s v="L1758"/>
        <s v="L1759"/>
        <s v="L1760"/>
        <s v="L1761"/>
        <s v="L1762"/>
        <s v="L1763"/>
        <s v="L1764"/>
        <s v="L1765"/>
        <s v="L1766"/>
        <s v="L1767"/>
        <s v="L1768"/>
        <s v="L1769"/>
        <s v="L1770"/>
        <s v="L1771"/>
        <s v="L1772"/>
        <s v="L1773"/>
        <s v="L1774"/>
        <s v="L1775"/>
        <s v="L1776"/>
        <s v="L1777"/>
        <s v="L1778"/>
        <s v="L1779"/>
        <s v="L1780"/>
        <s v="L1781"/>
        <s v="L1782"/>
        <s v="L1783"/>
        <s v="L1784"/>
        <s v="L1785"/>
        <s v="L1786"/>
        <s v="L1787"/>
        <s v="L1788"/>
        <s v="L1789"/>
        <s v="L1790"/>
        <s v="L1791"/>
        <s v="L1792"/>
        <s v="L1793"/>
        <s v="L1794"/>
        <s v="L1795"/>
        <s v="L1796"/>
        <s v="L1797"/>
        <s v="L1798"/>
        <s v="L1799"/>
        <s v="L1800"/>
        <s v="L1801"/>
        <s v="L1802"/>
        <s v="L1803"/>
        <s v="L1804"/>
        <s v="L1805"/>
        <s v="L1806"/>
        <s v="L1807"/>
        <s v="L1808"/>
        <s v="L1809"/>
        <s v="L1810"/>
        <s v="L1811"/>
        <s v="L1812"/>
        <s v="L1813"/>
        <s v="L1814"/>
        <s v="L1815"/>
        <s v="L1816"/>
        <s v="L1817"/>
        <s v="L1818"/>
        <s v="L1819"/>
        <s v="L1820"/>
        <s v="L1821"/>
        <s v="L1822"/>
        <s v="L1823"/>
        <s v="L1824"/>
        <s v="L1825"/>
        <s v="L1826"/>
        <s v="L1827"/>
        <s v="L1828"/>
        <s v="L1829"/>
        <s v="L1830"/>
        <s v="L1831"/>
        <s v="L1832"/>
        <s v="L1833"/>
        <s v="L1834"/>
        <s v="L1835"/>
        <s v="L1836"/>
        <s v="L1837"/>
        <s v="L1838"/>
        <s v="L1839"/>
        <s v="L1840"/>
        <s v="L1841"/>
        <s v="L1842"/>
        <s v="L1843"/>
        <s v="L1844"/>
        <s v="L1845"/>
        <s v="L1846"/>
        <s v="L1847"/>
        <s v="L1848"/>
        <s v="L1849"/>
        <s v="L1850"/>
        <s v="L1851"/>
        <s v="L1852"/>
        <s v="L1853"/>
        <s v="L1854"/>
        <s v="L1855"/>
        <s v="L1856"/>
        <s v="L1857"/>
        <s v="L1858"/>
        <s v="L1859"/>
        <s v="L1860"/>
        <s v="L1861"/>
        <s v="L1862"/>
        <s v="L1863"/>
        <s v="L1864"/>
        <s v="L1865"/>
        <s v="L1866"/>
        <s v="L1867"/>
        <s v="L1868"/>
        <s v="L1869"/>
        <s v="L1870"/>
        <s v="L1871"/>
        <s v="L1872"/>
        <s v="L1873"/>
        <s v="L1874"/>
        <s v="L1875"/>
        <s v="L1876"/>
        <s v="L1877"/>
        <s v="L1878"/>
        <s v="L1879"/>
        <s v="L1880"/>
        <s v="L1881"/>
        <s v="L1882"/>
        <s v="L1883"/>
        <s v="L1884"/>
        <s v="L1885"/>
        <s v="L1886"/>
        <s v="L1887"/>
        <s v="L1888"/>
        <s v="L1889"/>
        <s v="L1890"/>
        <s v="L1891"/>
        <s v="L1892"/>
        <s v="L1893"/>
        <s v="L1894"/>
        <s v="L1895"/>
        <s v="L1896"/>
        <s v="L1897"/>
        <s v="L1898"/>
        <s v="L1899"/>
        <s v="L1900"/>
        <s v="L1901"/>
        <s v="L1902"/>
        <s v="L1903"/>
        <s v="L1904"/>
        <s v="L1905"/>
        <s v="L1906"/>
        <s v="L1907"/>
        <s v="L1908"/>
        <s v="L1909"/>
        <s v="L1910"/>
        <s v="L1911"/>
        <s v="L1912"/>
        <s v="L1913"/>
        <s v="L1914"/>
        <s v="L1915"/>
        <s v="L1916"/>
        <s v="L1917"/>
        <s v="L1918"/>
        <s v="L1919"/>
        <s v="L1920"/>
        <s v="L1921"/>
        <s v="L1922"/>
        <s v="L1923"/>
        <s v="L1924"/>
        <s v="L1925"/>
        <s v="L1926"/>
        <s v="L1927"/>
        <s v="L1928"/>
        <s v="L1929"/>
        <s v="L1930"/>
        <s v="L1931"/>
        <s v="L1932"/>
        <s v="L1933"/>
        <s v="L1934"/>
        <s v="L1935"/>
        <s v="L1936"/>
        <s v="L1937"/>
        <s v="L1938"/>
        <s v="L1939"/>
        <s v="L1940"/>
        <s v="L1941"/>
        <s v="L1942"/>
        <s v="L1943"/>
        <s v="L1944"/>
        <s v="L1945"/>
        <s v="L1946"/>
        <s v="L1947"/>
        <s v="L1948"/>
        <s v="L1949"/>
        <s v="L1950"/>
        <s v="L1951"/>
        <s v="L1952"/>
        <s v="L1953"/>
        <s v="L1954"/>
        <s v="L1955"/>
        <s v="L1956"/>
        <s v="L1957"/>
        <s v="L1958"/>
        <s v="L1959"/>
        <s v="L1960"/>
        <s v="L1961"/>
        <s v="L1962"/>
        <s v="L1963"/>
        <s v="L1964"/>
        <s v="L1965"/>
        <s v="L1966"/>
        <s v="L1967"/>
        <s v="L1968"/>
        <s v="L1969"/>
        <s v="L1970"/>
        <s v="L1971"/>
        <s v="L1972"/>
        <s v="L1973"/>
        <s v="L1974"/>
        <s v="L1975"/>
        <s v="L1976"/>
        <s v="L1977"/>
        <s v="L1978"/>
        <s v="L1979"/>
        <s v="L1980"/>
        <s v="L1981"/>
        <s v="L1982"/>
        <s v="L1983"/>
        <s v="L1984"/>
        <s v="L1985"/>
        <s v="L1986"/>
        <s v="L1987"/>
        <s v="L1988"/>
        <s v="L1989"/>
        <s v="L1990"/>
        <s v="L1991"/>
        <s v="L1992"/>
        <s v="L1993"/>
        <s v="L1994"/>
        <s v="L1995"/>
        <s v="L1996"/>
        <s v="L1997"/>
        <s v="L1998"/>
        <s v="L1999"/>
      </sharedItems>
    </cacheField>
    <cacheField name="Store Name" numFmtId="0">
      <sharedItems count="4">
        <s v="Bangalore MBC"/>
        <s v="Delhi MBC"/>
        <s v="Mumbai MBC"/>
        <s v="Chennai MBC"/>
      </sharedItems>
    </cacheField>
    <cacheField name="Lead Type" numFmtId="0">
      <sharedItems count="3">
        <s v="Warm"/>
        <s v="Cold"/>
        <s v="Hot"/>
      </sharedItems>
    </cacheField>
    <cacheField name="Lead Date" numFmtId="181">
      <sharedItems containsSemiMixedTypes="0" containsString="0" containsNonDate="0" containsDate="1" minDate="2025-10-01T00:00:00" maxDate="2025-10-31T00:00:00" count="31">
        <d v="2025-10-21T00:00:00"/>
        <d v="2025-10-11T00:00:00"/>
        <d v="2025-10-01T00:00:00"/>
        <d v="2025-10-28T00:00:00"/>
        <d v="2025-10-14T00:00:00"/>
        <d v="2025-10-27T00:00:00"/>
        <d v="2025-10-16T00:00:00"/>
        <d v="2025-10-04T00:00:00"/>
        <d v="2025-10-31T00:00:00"/>
        <d v="2025-10-12T00:00:00"/>
        <d v="2025-10-29T00:00:00"/>
        <d v="2025-10-15T00:00:00"/>
        <d v="2025-10-23T00:00:00"/>
        <d v="2025-10-05T00:00:00"/>
        <d v="2025-10-06T00:00:00"/>
        <d v="2025-10-24T00:00:00"/>
        <d v="2025-10-17T00:00:00"/>
        <d v="2025-10-09T00:00:00"/>
        <d v="2025-10-20T00:00:00"/>
        <d v="2025-10-26T00:00:00"/>
        <d v="2025-10-30T00:00:00"/>
        <d v="2025-10-18T00:00:00"/>
        <d v="2025-10-25T00:00:00"/>
        <d v="2025-10-19T00:00:00"/>
        <d v="2025-10-08T00:00:00"/>
        <d v="2025-10-03T00:00:00"/>
        <d v="2025-10-22T00:00:00"/>
        <d v="2025-10-13T00:00:00"/>
        <d v="2025-10-07T00:00:00"/>
        <d v="2025-10-10T00:00:00"/>
        <d v="2025-10-02T00:00:00"/>
      </sharedItems>
    </cacheField>
    <cacheField name="Pre-Booking Date" numFmtId="181">
      <sharedItems containsString="0" containsBlank="1" containsNonDate="0" containsDate="1" minDate="2025-10-02T00:00:00" maxDate="2025-11-05T00:00:00" count="36">
        <d v="2025-10-25T00:00:00"/>
        <d v="2025-10-14T00:00:00"/>
        <m/>
        <d v="2025-10-18T00:00:00"/>
        <d v="2025-10-31T00:00:00"/>
        <d v="2025-10-20T00:00:00"/>
        <d v="2025-10-05T00:00:00"/>
        <d v="2025-10-17T00:00:00"/>
        <d v="2025-11-04T00:00:00"/>
        <d v="2025-10-24T00:00:00"/>
        <d v="2025-11-01T00:00:00"/>
        <d v="2025-10-30T00:00:00"/>
        <d v="2025-10-27T00:00:00"/>
        <d v="2025-10-06T00:00:00"/>
        <d v="2025-10-15T00:00:00"/>
        <d v="2025-10-07T00:00:00"/>
        <d v="2025-10-21T00:00:00"/>
        <d v="2025-10-11T00:00:00"/>
        <d v="2025-10-23T00:00:00"/>
        <d v="2025-10-13T00:00:00"/>
        <d v="2025-10-12T00:00:00"/>
        <d v="2025-10-10T00:00:00"/>
        <d v="2025-10-19T00:00:00"/>
        <d v="2025-10-29T00:00:00"/>
        <d v="2025-10-16T00:00:00"/>
        <d v="2025-10-26T00:00:00"/>
        <d v="2025-10-04T00:00:00"/>
        <d v="2025-10-09T00:00:00"/>
        <d v="2025-10-28T00:00:00"/>
        <d v="2025-10-02T00:00:00"/>
        <d v="2025-10-08T00:00:00"/>
        <d v="2025-10-22T00:00:00"/>
        <d v="2025-11-05T00:00:00"/>
        <d v="2025-10-03T00:00:00"/>
        <d v="2025-11-02T00:00:00"/>
        <d v="2025-11-03T00:00:00"/>
      </sharedItems>
    </cacheField>
    <cacheField name="Booking Date" numFmtId="181">
      <sharedItems containsString="0" containsBlank="1" containsNonDate="0" containsDate="1" minDate="2025-10-03T00:00:00" maxDate="2025-11-10T00:00:00" count="40">
        <d v="2025-10-29T00:00:00"/>
        <d v="2025-10-19T00:00:00"/>
        <m/>
        <d v="2025-10-21T00:00:00"/>
        <d v="2025-11-04T00:00:00"/>
        <d v="2025-10-08T00:00:00"/>
        <d v="2025-10-20T00:00:00"/>
        <d v="2025-11-05T00:00:00"/>
        <d v="2025-10-28T00:00:00"/>
        <d v="2025-11-06T00:00:00"/>
        <d v="2025-11-02T00:00:00"/>
        <d v="2025-10-18T00:00:00"/>
        <d v="2025-11-01T00:00:00"/>
        <d v="2025-10-10T00:00:00"/>
        <d v="2025-10-12T00:00:00"/>
        <d v="2025-10-30T00:00:00"/>
        <d v="2025-10-23T00:00:00"/>
        <d v="2025-10-15T00:00:00"/>
        <d v="2025-10-27T00:00:00"/>
        <d v="2025-11-09T00:00:00"/>
        <d v="2025-10-16T00:00:00"/>
        <d v="2025-10-13T00:00:00"/>
        <d v="2025-11-03T00:00:00"/>
        <d v="2025-10-14T00:00:00"/>
        <d v="2025-10-22T00:00:00"/>
        <d v="2025-10-17T00:00:00"/>
        <d v="2025-10-26T00:00:00"/>
        <d v="2025-10-25T00:00:00"/>
        <d v="2025-10-24T00:00:00"/>
        <d v="2025-10-06T00:00:00"/>
        <d v="2025-10-11T00:00:00"/>
        <d v="2025-10-31T00:00:00"/>
        <d v="2025-10-05T00:00:00"/>
        <d v="2025-11-08T00:00:00"/>
        <d v="2025-10-04T00:00:00"/>
        <d v="2025-10-03T00:00:00"/>
        <d v="2025-10-07T00:00:00"/>
        <d v="2025-10-09T00:00:00"/>
        <d v="2025-11-07T00:00:00"/>
        <d v="2025-11-10T00:00:00"/>
      </sharedItems>
    </cacheField>
    <cacheField name="Delivery Date" numFmtId="0">
      <sharedItems containsString="0" containsBlank="1" containsDate="1" containsMixedTypes="1" count="45">
        <d v="2025-11-03T00:00:00"/>
        <d v="2025-10-26T00:00:00"/>
        <m/>
        <d v="2025-10-24T00:00:00"/>
        <d v="2025-11-07T00:00:00"/>
        <d v="2025-10-28T00:00:00"/>
        <d v="2025-10-15T00:00:00"/>
        <n v="45955"/>
        <d v="2025-11-10T00:00:00"/>
        <d v="2025-10-30T00:00:00"/>
        <d v="2025-11-13T00:00:00"/>
        <d v="2025-11-08T00:00:00"/>
        <d v="2025-10-21T00:00:00"/>
        <d v="2025-11-06T00:00:00"/>
        <d v="2025-10-16T00:00:00"/>
        <d v="2025-10-23T00:00:00"/>
        <d v="2025-10-17T00:00:00"/>
        <d v="2025-11-01T00:00:00"/>
        <d v="2025-11-05T00:00:00"/>
        <d v="2025-10-19T00:00:00"/>
        <d v="2025-11-15T00:00:00"/>
        <d v="2025-10-29T00:00:00"/>
        <d v="2025-10-20T00:00:00"/>
        <d v="2025-11-09T00:00:00"/>
        <d v="2025-10-31T00:00:00"/>
        <d v="2025-10-14T00:00:00"/>
        <d v="2025-11-02T00:00:00"/>
        <d v="2025-10-18T00:00:00"/>
        <d v="2025-10-12T00:00:00"/>
        <d v="2025-10-25T00:00:00"/>
        <d v="2025-10-08T00:00:00"/>
        <d v="2025-10-10T00:00:00"/>
        <d v="2025-10-22T00:00:00"/>
        <d v="2025-10-27T00:00:00"/>
        <d v="2025-11-14T00:00:00"/>
        <d v="2025-11-04T00:00:00"/>
        <d v="2025-10-09T00:00:00"/>
        <d v="2025-11-11T00:00:00"/>
        <d v="2025-10-07T00:00:00"/>
        <d v="2025-10-13T00:00:00"/>
        <d v="2025-11-12T00:00:00"/>
        <d v="2025-11-17T00:00:00"/>
        <d v="2025-10-06T00:00:00"/>
        <d v="2025-10-11T00:00:00"/>
        <d v="2025-11-16T00:00:00"/>
      </sharedItems>
    </cacheField>
    <cacheField name="Lead Status" numFmtId="182">
      <sharedItems count="3">
        <s v="Delivered"/>
        <s v="Cancelled"/>
        <s v="Lead" u="1"/>
      </sharedItems>
    </cacheField>
    <cacheField name="Pre-booking TAT (days)" numFmtId="182">
      <sharedItems containsSemiMixedTypes="0" containsString="0" containsNumber="1" containsInteger="1" minValue="0" maxValue="5" count="6">
        <n v="4"/>
        <n v="3"/>
        <n v="0"/>
        <n v="1"/>
        <n v="2"/>
        <n v="5"/>
      </sharedItems>
    </cacheField>
    <cacheField name="Booking TAT (days)" numFmtId="182">
      <sharedItems containsSemiMixedTypes="0" containsString="0" containsNumber="1" containsInteger="1" minValue="0" maxValue="5" count="6">
        <n v="4"/>
        <n v="5"/>
        <n v="0"/>
        <n v="3"/>
        <n v="1"/>
        <n v="2"/>
      </sharedItems>
    </cacheField>
    <cacheField name="Delivery TAT (days)" numFmtId="182">
      <sharedItems containsSemiMixedTypes="0" containsString="0" containsNumber="1" containsInteger="1" minValue="0" maxValue="7" count="7">
        <n v="5"/>
        <n v="7"/>
        <n v="0"/>
        <n v="3"/>
        <n v="2"/>
        <n v="6"/>
        <n v="4"/>
      </sharedItems>
    </cacheField>
    <cacheField name="Cancellation Status" numFmtId="0">
      <sharedItems count="2">
        <s v="No"/>
        <s v="Yes"/>
      </sharedItems>
    </cacheField>
    <cacheField name="Cancellation Reason" numFmtId="0">
      <sharedItems containsBlank="1" count="6">
        <m/>
        <s v="Other"/>
        <s v="Model Unavailable"/>
        <s v="Changed Mind"/>
        <s v="Financing Issue"/>
        <s v="Price"/>
      </sharedItems>
    </cacheField>
    <cacheField name="Service Follow-up Date" numFmtId="181">
      <sharedItems containsString="0" containsBlank="1" containsNonDate="0" containsDate="1" minDate="2025-10-19T00:00:00" maxDate="2025-12-15T00:00:00" count="57">
        <d v="2025-11-28T00:00:00"/>
        <d v="2025-11-22T00:00:00"/>
        <m/>
        <d v="2025-11-12T00:00:00"/>
        <d v="2025-11-05T00:00:00"/>
        <d v="2025-11-10T00:00:00"/>
        <d v="2025-11-30T00:00:00"/>
        <d v="2025-12-07T00:00:00"/>
        <d v="2025-11-23T00:00:00"/>
        <d v="2025-10-26T00:00:00"/>
        <d v="2025-11-18T00:00:00"/>
        <d v="2025-11-11T00:00:00"/>
        <d v="2025-11-19T00:00:00"/>
        <d v="2025-12-04T00:00:00"/>
        <d v="2025-11-17T00:00:00"/>
        <d v="2025-11-02T00:00:00"/>
        <d v="2025-12-05T00:00:00"/>
        <d v="2025-11-09T00:00:00"/>
        <d v="2025-11-06T00:00:00"/>
        <d v="2025-11-13T00:00:00"/>
        <d v="2025-11-15T00:00:00"/>
        <d v="2025-11-29T00:00:00"/>
        <d v="2025-11-04T00:00:00"/>
        <d v="2025-11-26T00:00:00"/>
        <d v="2025-11-20T00:00:00"/>
        <d v="2025-11-14T00:00:00"/>
        <d v="2025-11-07T00:00:00"/>
        <d v="2025-12-01T00:00:00"/>
        <d v="2025-10-23T00:00:00"/>
        <d v="2025-10-29T00:00:00"/>
        <d v="2025-11-24T00:00:00"/>
        <d v="2025-11-21T00:00:00"/>
        <d v="2025-11-08T00:00:00"/>
        <d v="2025-11-01T00:00:00"/>
        <d v="2025-10-30T00:00:00"/>
        <d v="2025-10-21T00:00:00"/>
        <d v="2025-10-25T00:00:00"/>
        <d v="2025-10-27T00:00:00"/>
        <d v="2025-10-31T00:00:00"/>
        <d v="2025-11-03T00:00:00"/>
        <d v="2025-12-08T00:00:00"/>
        <d v="2025-10-24T00:00:00"/>
        <d v="2025-11-16T00:00:00"/>
        <d v="2025-11-27T00:00:00"/>
        <d v="2025-12-02T00:00:00"/>
        <d v="2025-10-22T00:00:00"/>
        <d v="2025-10-28T00:00:00"/>
        <d v="2025-12-09T00:00:00"/>
        <d v="2025-12-12T00:00:00"/>
        <d v="2025-11-25T00:00:00"/>
        <d v="2025-12-11T00:00:00"/>
        <d v="2025-12-03T00:00:00"/>
        <d v="2025-12-06T00:00:00"/>
        <d v="2025-12-10T00:00:00"/>
        <d v="2025-12-14T00:00:00"/>
        <d v="2025-10-19T00:00:00"/>
        <d v="2025-12-15T00:00:00"/>
      </sharedItems>
    </cacheField>
    <cacheField name="TAT Pre-Booking (Days)" numFmtId="0">
      <sharedItems containsString="0" containsBlank="1" containsNumber="1" containsInteger="1" minValue="0" maxValue="5" count="6">
        <n v="4"/>
        <n v="3"/>
        <m/>
        <n v="1"/>
        <n v="2"/>
        <n v="5"/>
      </sharedItems>
    </cacheField>
    <cacheField name="TAT Booking (Days)" numFmtId="0">
      <sharedItems containsString="0" containsBlank="1" containsNumber="1" containsInteger="1" minValue="0" maxValue="5" count="6">
        <n v="4"/>
        <n v="5"/>
        <m/>
        <n v="3"/>
        <n v="1"/>
        <n v="2"/>
      </sharedItems>
    </cacheField>
    <cacheField name="TAT Delivery (Days)" numFmtId="0">
      <sharedItems containsString="0" containsBlank="1" containsNumber="1" containsInteger="1" minValue="0" maxValue="7" count="7">
        <n v="5"/>
        <n v="7"/>
        <m/>
        <n v="3"/>
        <n v="2"/>
        <n v="6"/>
        <n v="4"/>
      </sharedItems>
    </cacheField>
    <cacheField name="Customer Rating" numFmtId="0">
      <sharedItems containsString="0" containsBlank="1" containsNumber="1" containsInteger="1" minValue="0" maxValue="10" count="12">
        <n v="2"/>
        <n v="8"/>
        <m/>
        <n v="9"/>
        <n v="10"/>
        <n v="6"/>
        <n v="0"/>
        <n v="5"/>
        <n v="4"/>
        <n v="3"/>
        <n v="1"/>
        <n v="7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961.7508796296" refreshedBy="KIIT" recordCount="1000">
  <cacheSource type="worksheet">
    <worksheetSource ref="A1:S1001" sheet="Main data"/>
  </cacheSource>
  <cacheFields count="19">
    <cacheField name="Lead ID" numFmtId="0">
      <sharedItems count="1000">
        <s v="L1000"/>
        <s v="L1001"/>
        <s v="L1002"/>
        <s v="L1003"/>
        <s v="L1004"/>
        <s v="L1005"/>
        <s v="L1006"/>
        <s v="L1007"/>
        <s v="L1008"/>
        <s v="L1009"/>
        <s v="L1010"/>
        <s v="L1011"/>
        <s v="L1012"/>
        <s v="L1013"/>
        <s v="L1014"/>
        <s v="L1015"/>
        <s v="L1016"/>
        <s v="L1017"/>
        <s v="L1018"/>
        <s v="L1019"/>
        <s v="L1020"/>
        <s v="L1021"/>
        <s v="L1022"/>
        <s v="L1023"/>
        <s v="L1024"/>
        <s v="L1025"/>
        <s v="L1026"/>
        <s v="L1027"/>
        <s v="L1028"/>
        <s v="L1029"/>
        <s v="L1030"/>
        <s v="L1031"/>
        <s v="L1032"/>
        <s v="L1033"/>
        <s v="L1034"/>
        <s v="L1035"/>
        <s v="L1036"/>
        <s v="L1037"/>
        <s v="L1038"/>
        <s v="L1039"/>
        <s v="L1040"/>
        <s v="L1041"/>
        <s v="L1042"/>
        <s v="L1043"/>
        <s v="L1044"/>
        <s v="L1045"/>
        <s v="L1046"/>
        <s v="L1047"/>
        <s v="L1048"/>
        <s v="L1049"/>
        <s v="L1050"/>
        <s v="L1051"/>
        <s v="L1052"/>
        <s v="L1053"/>
        <s v="L1054"/>
        <s v="L1055"/>
        <s v="L1056"/>
        <s v="L1057"/>
        <s v="L1058"/>
        <s v="L1059"/>
        <s v="L1060"/>
        <s v="L1061"/>
        <s v="L1062"/>
        <s v="L1063"/>
        <s v="L1064"/>
        <s v="L1065"/>
        <s v="L1066"/>
        <s v="L1067"/>
        <s v="L1068"/>
        <s v="L1069"/>
        <s v="L1070"/>
        <s v="L1071"/>
        <s v="L1072"/>
        <s v="L1073"/>
        <s v="L1074"/>
        <s v="L1075"/>
        <s v="L1076"/>
        <s v="L1077"/>
        <s v="L1078"/>
        <s v="L1079"/>
        <s v="L1080"/>
        <s v="L1081"/>
        <s v="L1082"/>
        <s v="L1083"/>
        <s v="L1084"/>
        <s v="L1085"/>
        <s v="L1086"/>
        <s v="L1087"/>
        <s v="L1088"/>
        <s v="L1089"/>
        <s v="L1090"/>
        <s v="L1091"/>
        <s v="L1092"/>
        <s v="L1093"/>
        <s v="L1094"/>
        <s v="L1095"/>
        <s v="L1096"/>
        <s v="L1097"/>
        <s v="L1098"/>
        <s v="L1099"/>
        <s v="L1100"/>
        <s v="L1101"/>
        <s v="L1102"/>
        <s v="L1103"/>
        <s v="L1104"/>
        <s v="L1105"/>
        <s v="L1106"/>
        <s v="L1107"/>
        <s v="L1108"/>
        <s v="L1109"/>
        <s v="L1110"/>
        <s v="L1111"/>
        <s v="L1112"/>
        <s v="L1113"/>
        <s v="L1114"/>
        <s v="L1115"/>
        <s v="L1116"/>
        <s v="L1117"/>
        <s v="L1118"/>
        <s v="L1119"/>
        <s v="L1120"/>
        <s v="L1121"/>
        <s v="L1122"/>
        <s v="L1123"/>
        <s v="L1124"/>
        <s v="L1125"/>
        <s v="L1126"/>
        <s v="L1127"/>
        <s v="L1128"/>
        <s v="L1129"/>
        <s v="L1130"/>
        <s v="L1131"/>
        <s v="L1132"/>
        <s v="L1133"/>
        <s v="L1134"/>
        <s v="L1135"/>
        <s v="L1136"/>
        <s v="L1137"/>
        <s v="L1138"/>
        <s v="L1139"/>
        <s v="L1140"/>
        <s v="L1141"/>
        <s v="L1142"/>
        <s v="L1143"/>
        <s v="L1144"/>
        <s v="L1145"/>
        <s v="L1146"/>
        <s v="L1147"/>
        <s v="L1148"/>
        <s v="L1149"/>
        <s v="L1150"/>
        <s v="L1151"/>
        <s v="L1152"/>
        <s v="L1153"/>
        <s v="L1154"/>
        <s v="L1155"/>
        <s v="L1156"/>
        <s v="L1157"/>
        <s v="L1158"/>
        <s v="L1159"/>
        <s v="L1160"/>
        <s v="L1161"/>
        <s v="L1162"/>
        <s v="L1163"/>
        <s v="L1164"/>
        <s v="L1165"/>
        <s v="L1166"/>
        <s v="L1167"/>
        <s v="L1168"/>
        <s v="L1169"/>
        <s v="L1170"/>
        <s v="L1171"/>
        <s v="L1172"/>
        <s v="L1173"/>
        <s v="L1174"/>
        <s v="L1175"/>
        <s v="L1176"/>
        <s v="L1177"/>
        <s v="L1178"/>
        <s v="L1179"/>
        <s v="L1180"/>
        <s v="L1181"/>
        <s v="L1182"/>
        <s v="L1183"/>
        <s v="L1184"/>
        <s v="L1185"/>
        <s v="L1186"/>
        <s v="L1187"/>
        <s v="L1188"/>
        <s v="L1189"/>
        <s v="L1190"/>
        <s v="L1191"/>
        <s v="L1192"/>
        <s v="L1193"/>
        <s v="L1194"/>
        <s v="L1195"/>
        <s v="L1196"/>
        <s v="L1197"/>
        <s v="L1198"/>
        <s v="L1199"/>
        <s v="L1200"/>
        <s v="L1201"/>
        <s v="L1202"/>
        <s v="L1203"/>
        <s v="L1204"/>
        <s v="L1205"/>
        <s v="L1206"/>
        <s v="L1207"/>
        <s v="L1208"/>
        <s v="L1209"/>
        <s v="L1210"/>
        <s v="L1211"/>
        <s v="L1212"/>
        <s v="L1213"/>
        <s v="L1214"/>
        <s v="L1215"/>
        <s v="L1216"/>
        <s v="L1217"/>
        <s v="L1218"/>
        <s v="L1219"/>
        <s v="L1220"/>
        <s v="L1221"/>
        <s v="L1222"/>
        <s v="L1223"/>
        <s v="L1224"/>
        <s v="L1225"/>
        <s v="L1226"/>
        <s v="L1227"/>
        <s v="L1228"/>
        <s v="L1229"/>
        <s v="L1230"/>
        <s v="L1231"/>
        <s v="L1232"/>
        <s v="L1233"/>
        <s v="L1234"/>
        <s v="L1235"/>
        <s v="L1236"/>
        <s v="L1237"/>
        <s v="L1238"/>
        <s v="L1239"/>
        <s v="L1240"/>
        <s v="L1241"/>
        <s v="L1242"/>
        <s v="L1243"/>
        <s v="L1244"/>
        <s v="L1245"/>
        <s v="L1246"/>
        <s v="L1247"/>
        <s v="L1248"/>
        <s v="L1249"/>
        <s v="L1250"/>
        <s v="L1251"/>
        <s v="L1252"/>
        <s v="L1253"/>
        <s v="L1254"/>
        <s v="L1255"/>
        <s v="L1256"/>
        <s v="L1257"/>
        <s v="L1258"/>
        <s v="L1259"/>
        <s v="L1260"/>
        <s v="L1261"/>
        <s v="L1262"/>
        <s v="L1263"/>
        <s v="L1264"/>
        <s v="L1265"/>
        <s v="L1266"/>
        <s v="L1267"/>
        <s v="L1268"/>
        <s v="L1269"/>
        <s v="L1270"/>
        <s v="L1271"/>
        <s v="L1272"/>
        <s v="L1273"/>
        <s v="L1274"/>
        <s v="L1275"/>
        <s v="L1276"/>
        <s v="L1277"/>
        <s v="L1278"/>
        <s v="L1279"/>
        <s v="L1280"/>
        <s v="L1281"/>
        <s v="L1282"/>
        <s v="L1283"/>
        <s v="L1284"/>
        <s v="L1285"/>
        <s v="L1286"/>
        <s v="L1287"/>
        <s v="L1288"/>
        <s v="L1289"/>
        <s v="L1290"/>
        <s v="L1291"/>
        <s v="L1292"/>
        <s v="L1293"/>
        <s v="L1294"/>
        <s v="L1295"/>
        <s v="L1296"/>
        <s v="L1297"/>
        <s v="L1298"/>
        <s v="L1299"/>
        <s v="L1300"/>
        <s v="L1301"/>
        <s v="L1302"/>
        <s v="L1303"/>
        <s v="L1304"/>
        <s v="L1305"/>
        <s v="L1306"/>
        <s v="L1307"/>
        <s v="L1308"/>
        <s v="L1309"/>
        <s v="L1310"/>
        <s v="L1311"/>
        <s v="L1312"/>
        <s v="L1313"/>
        <s v="L1314"/>
        <s v="L1315"/>
        <s v="L1316"/>
        <s v="L1317"/>
        <s v="L1318"/>
        <s v="L1319"/>
        <s v="L1320"/>
        <s v="L1321"/>
        <s v="L1322"/>
        <s v="L1323"/>
        <s v="L1324"/>
        <s v="L1325"/>
        <s v="L1326"/>
        <s v="L1327"/>
        <s v="L1328"/>
        <s v="L1329"/>
        <s v="L1330"/>
        <s v="L1331"/>
        <s v="L1332"/>
        <s v="L1333"/>
        <s v="L1334"/>
        <s v="L1335"/>
        <s v="L1336"/>
        <s v="L1337"/>
        <s v="L1338"/>
        <s v="L1339"/>
        <s v="L1340"/>
        <s v="L1341"/>
        <s v="L1342"/>
        <s v="L1343"/>
        <s v="L1344"/>
        <s v="L1345"/>
        <s v="L1346"/>
        <s v="L1347"/>
        <s v="L1348"/>
        <s v="L1349"/>
        <s v="L1350"/>
        <s v="L1351"/>
        <s v="L1352"/>
        <s v="L1353"/>
        <s v="L1354"/>
        <s v="L1355"/>
        <s v="L1356"/>
        <s v="L1357"/>
        <s v="L1358"/>
        <s v="L1359"/>
        <s v="L1360"/>
        <s v="L1361"/>
        <s v="L1362"/>
        <s v="L1363"/>
        <s v="L1364"/>
        <s v="L1365"/>
        <s v="L1366"/>
        <s v="L1367"/>
        <s v="L1368"/>
        <s v="L1369"/>
        <s v="L1370"/>
        <s v="L1371"/>
        <s v="L1372"/>
        <s v="L1373"/>
        <s v="L1374"/>
        <s v="L1375"/>
        <s v="L1376"/>
        <s v="L1377"/>
        <s v="L1378"/>
        <s v="L1379"/>
        <s v="L1380"/>
        <s v="L1381"/>
        <s v="L1382"/>
        <s v="L1383"/>
        <s v="L1384"/>
        <s v="L1385"/>
        <s v="L1386"/>
        <s v="L1387"/>
        <s v="L1388"/>
        <s v="L1389"/>
        <s v="L1390"/>
        <s v="L1391"/>
        <s v="L1392"/>
        <s v="L1393"/>
        <s v="L1394"/>
        <s v="L1395"/>
        <s v="L1396"/>
        <s v="L1397"/>
        <s v="L1398"/>
        <s v="L1399"/>
        <s v="L1400"/>
        <s v="L1401"/>
        <s v="L1402"/>
        <s v="L1403"/>
        <s v="L1404"/>
        <s v="L1405"/>
        <s v="L1406"/>
        <s v="L1407"/>
        <s v="L1408"/>
        <s v="L1409"/>
        <s v="L1410"/>
        <s v="L1411"/>
        <s v="L1412"/>
        <s v="L1413"/>
        <s v="L1414"/>
        <s v="L1415"/>
        <s v="L1416"/>
        <s v="L1417"/>
        <s v="L1418"/>
        <s v="L1419"/>
        <s v="L1420"/>
        <s v="L1421"/>
        <s v="L1422"/>
        <s v="L1423"/>
        <s v="L1424"/>
        <s v="L1425"/>
        <s v="L1426"/>
        <s v="L1427"/>
        <s v="L1428"/>
        <s v="L1429"/>
        <s v="L1430"/>
        <s v="L1431"/>
        <s v="L1432"/>
        <s v="L1433"/>
        <s v="L1434"/>
        <s v="L1435"/>
        <s v="L1436"/>
        <s v="L1437"/>
        <s v="L1438"/>
        <s v="L1439"/>
        <s v="L1440"/>
        <s v="L1441"/>
        <s v="L1442"/>
        <s v="L1443"/>
        <s v="L1444"/>
        <s v="L1445"/>
        <s v="L1446"/>
        <s v="L1447"/>
        <s v="L1448"/>
        <s v="L1449"/>
        <s v="L1450"/>
        <s v="L1451"/>
        <s v="L1452"/>
        <s v="L1453"/>
        <s v="L1454"/>
        <s v="L1455"/>
        <s v="L1456"/>
        <s v="L1457"/>
        <s v="L1458"/>
        <s v="L1459"/>
        <s v="L1460"/>
        <s v="L1461"/>
        <s v="L1462"/>
        <s v="L1463"/>
        <s v="L1464"/>
        <s v="L1465"/>
        <s v="L1466"/>
        <s v="L1467"/>
        <s v="L1468"/>
        <s v="L1469"/>
        <s v="L1470"/>
        <s v="L1471"/>
        <s v="L1472"/>
        <s v="L1473"/>
        <s v="L1474"/>
        <s v="L1475"/>
        <s v="L1476"/>
        <s v="L1477"/>
        <s v="L1478"/>
        <s v="L1479"/>
        <s v="L1480"/>
        <s v="L1481"/>
        <s v="L1482"/>
        <s v="L1483"/>
        <s v="L1484"/>
        <s v="L1485"/>
        <s v="L1486"/>
        <s v="L1487"/>
        <s v="L1488"/>
        <s v="L1489"/>
        <s v="L1490"/>
        <s v="L1491"/>
        <s v="L1492"/>
        <s v="L1493"/>
        <s v="L1494"/>
        <s v="L1495"/>
        <s v="L1496"/>
        <s v="L1497"/>
        <s v="L1498"/>
        <s v="L1499"/>
        <s v="L1500"/>
        <s v="L1501"/>
        <s v="L1502"/>
        <s v="L1503"/>
        <s v="L1504"/>
        <s v="L1505"/>
        <s v="L1506"/>
        <s v="L1507"/>
        <s v="L1508"/>
        <s v="L1509"/>
        <s v="L1510"/>
        <s v="L1511"/>
        <s v="L1512"/>
        <s v="L1513"/>
        <s v="L1514"/>
        <s v="L1515"/>
        <s v="L1516"/>
        <s v="L1517"/>
        <s v="L1518"/>
        <s v="L1519"/>
        <s v="L1520"/>
        <s v="L1521"/>
        <s v="L1522"/>
        <s v="L1523"/>
        <s v="L1524"/>
        <s v="L1525"/>
        <s v="L1526"/>
        <s v="L1527"/>
        <s v="L1528"/>
        <s v="L1529"/>
        <s v="L1530"/>
        <s v="L1531"/>
        <s v="L1532"/>
        <s v="L1533"/>
        <s v="L1534"/>
        <s v="L1535"/>
        <s v="L1536"/>
        <s v="L1537"/>
        <s v="L1538"/>
        <s v="L1539"/>
        <s v="L1540"/>
        <s v="L1541"/>
        <s v="L1542"/>
        <s v="L1543"/>
        <s v="L1544"/>
        <s v="L1545"/>
        <s v="L1546"/>
        <s v="L1547"/>
        <s v="L1548"/>
        <s v="L1549"/>
        <s v="L1550"/>
        <s v="L1551"/>
        <s v="L1552"/>
        <s v="L1553"/>
        <s v="L1554"/>
        <s v="L1555"/>
        <s v="L1556"/>
        <s v="L1557"/>
        <s v="L1558"/>
        <s v="L1559"/>
        <s v="L1560"/>
        <s v="L1561"/>
        <s v="L1562"/>
        <s v="L1563"/>
        <s v="L1564"/>
        <s v="L1565"/>
        <s v="L1566"/>
        <s v="L1567"/>
        <s v="L1568"/>
        <s v="L1569"/>
        <s v="L1570"/>
        <s v="L1571"/>
        <s v="L1572"/>
        <s v="L1573"/>
        <s v="L1574"/>
        <s v="L1575"/>
        <s v="L1576"/>
        <s v="L1577"/>
        <s v="L1578"/>
        <s v="L1579"/>
        <s v="L1580"/>
        <s v="L1581"/>
        <s v="L1582"/>
        <s v="L1583"/>
        <s v="L1584"/>
        <s v="L1585"/>
        <s v="L1586"/>
        <s v="L1587"/>
        <s v="L1588"/>
        <s v="L1589"/>
        <s v="L1590"/>
        <s v="L1591"/>
        <s v="L1592"/>
        <s v="L1593"/>
        <s v="L1594"/>
        <s v="L1595"/>
        <s v="L1596"/>
        <s v="L1597"/>
        <s v="L1598"/>
        <s v="L1599"/>
        <s v="L1600"/>
        <s v="L1601"/>
        <s v="L1602"/>
        <s v="L1603"/>
        <s v="L1604"/>
        <s v="L1605"/>
        <s v="L1606"/>
        <s v="L1607"/>
        <s v="L1608"/>
        <s v="L1609"/>
        <s v="L1610"/>
        <s v="L1611"/>
        <s v="L1612"/>
        <s v="L1613"/>
        <s v="L1614"/>
        <s v="L1615"/>
        <s v="L1616"/>
        <s v="L1617"/>
        <s v="L1618"/>
        <s v="L1619"/>
        <s v="L1620"/>
        <s v="L1621"/>
        <s v="L1622"/>
        <s v="L1623"/>
        <s v="L1624"/>
        <s v="L1625"/>
        <s v="L1626"/>
        <s v="L1627"/>
        <s v="L1628"/>
        <s v="L1629"/>
        <s v="L1630"/>
        <s v="L1631"/>
        <s v="L1632"/>
        <s v="L1633"/>
        <s v="L1634"/>
        <s v="L1635"/>
        <s v="L1636"/>
        <s v="L1637"/>
        <s v="L1638"/>
        <s v="L1639"/>
        <s v="L1640"/>
        <s v="L1641"/>
        <s v="L1642"/>
        <s v="L1643"/>
        <s v="L1644"/>
        <s v="L1645"/>
        <s v="L1646"/>
        <s v="L1647"/>
        <s v="L1648"/>
        <s v="L1649"/>
        <s v="L1650"/>
        <s v="L1651"/>
        <s v="L1652"/>
        <s v="L1653"/>
        <s v="L1654"/>
        <s v="L1655"/>
        <s v="L1656"/>
        <s v="L1657"/>
        <s v="L1658"/>
        <s v="L1659"/>
        <s v="L1660"/>
        <s v="L1661"/>
        <s v="L1662"/>
        <s v="L1663"/>
        <s v="L1664"/>
        <s v="L1665"/>
        <s v="L1666"/>
        <s v="L1667"/>
        <s v="L1668"/>
        <s v="L1669"/>
        <s v="L1670"/>
        <s v="L1671"/>
        <s v="L1672"/>
        <s v="L1673"/>
        <s v="L1674"/>
        <s v="L1675"/>
        <s v="L1676"/>
        <s v="L1677"/>
        <s v="L1678"/>
        <s v="L1679"/>
        <s v="L1680"/>
        <s v="L1681"/>
        <s v="L1682"/>
        <s v="L1683"/>
        <s v="L1684"/>
        <s v="L1685"/>
        <s v="L1686"/>
        <s v="L1687"/>
        <s v="L1688"/>
        <s v="L1689"/>
        <s v="L1690"/>
        <s v="L1691"/>
        <s v="L1692"/>
        <s v="L1693"/>
        <s v="L1694"/>
        <s v="L1695"/>
        <s v="L1696"/>
        <s v="L1697"/>
        <s v="L1698"/>
        <s v="L1699"/>
        <s v="L1700"/>
        <s v="L1701"/>
        <s v="L1702"/>
        <s v="L1703"/>
        <s v="L1704"/>
        <s v="L1705"/>
        <s v="L1706"/>
        <s v="L1707"/>
        <s v="L1708"/>
        <s v="L1709"/>
        <s v="L1710"/>
        <s v="L1711"/>
        <s v="L1712"/>
        <s v="L1713"/>
        <s v="L1714"/>
        <s v="L1715"/>
        <s v="L1716"/>
        <s v="L1717"/>
        <s v="L1718"/>
        <s v="L1719"/>
        <s v="L1720"/>
        <s v="L1721"/>
        <s v="L1722"/>
        <s v="L1723"/>
        <s v="L1724"/>
        <s v="L1725"/>
        <s v="L1726"/>
        <s v="L1727"/>
        <s v="L1728"/>
        <s v="L1729"/>
        <s v="L1730"/>
        <s v="L1731"/>
        <s v="L1732"/>
        <s v="L1733"/>
        <s v="L1734"/>
        <s v="L1735"/>
        <s v="L1736"/>
        <s v="L1737"/>
        <s v="L1738"/>
        <s v="L1739"/>
        <s v="L1740"/>
        <s v="L1741"/>
        <s v="L1742"/>
        <s v="L1743"/>
        <s v="L1744"/>
        <s v="L1745"/>
        <s v="L1746"/>
        <s v="L1747"/>
        <s v="L1748"/>
        <s v="L1749"/>
        <s v="L1750"/>
        <s v="L1751"/>
        <s v="L1752"/>
        <s v="L1753"/>
        <s v="L1754"/>
        <s v="L1755"/>
        <s v="L1756"/>
        <s v="L1757"/>
        <s v="L1758"/>
        <s v="L1759"/>
        <s v="L1760"/>
        <s v="L1761"/>
        <s v="L1762"/>
        <s v="L1763"/>
        <s v="L1764"/>
        <s v="L1765"/>
        <s v="L1766"/>
        <s v="L1767"/>
        <s v="L1768"/>
        <s v="L1769"/>
        <s v="L1770"/>
        <s v="L1771"/>
        <s v="L1772"/>
        <s v="L1773"/>
        <s v="L1774"/>
        <s v="L1775"/>
        <s v="L1776"/>
        <s v="L1777"/>
        <s v="L1778"/>
        <s v="L1779"/>
        <s v="L1780"/>
        <s v="L1781"/>
        <s v="L1782"/>
        <s v="L1783"/>
        <s v="L1784"/>
        <s v="L1785"/>
        <s v="L1786"/>
        <s v="L1787"/>
        <s v="L1788"/>
        <s v="L1789"/>
        <s v="L1790"/>
        <s v="L1791"/>
        <s v="L1792"/>
        <s v="L1793"/>
        <s v="L1794"/>
        <s v="L1795"/>
        <s v="L1796"/>
        <s v="L1797"/>
        <s v="L1798"/>
        <s v="L1799"/>
        <s v="L1800"/>
        <s v="L1801"/>
        <s v="L1802"/>
        <s v="L1803"/>
        <s v="L1804"/>
        <s v="L1805"/>
        <s v="L1806"/>
        <s v="L1807"/>
        <s v="L1808"/>
        <s v="L1809"/>
        <s v="L1810"/>
        <s v="L1811"/>
        <s v="L1812"/>
        <s v="L1813"/>
        <s v="L1814"/>
        <s v="L1815"/>
        <s v="L1816"/>
        <s v="L1817"/>
        <s v="L1818"/>
        <s v="L1819"/>
        <s v="L1820"/>
        <s v="L1821"/>
        <s v="L1822"/>
        <s v="L1823"/>
        <s v="L1824"/>
        <s v="L1825"/>
        <s v="L1826"/>
        <s v="L1827"/>
        <s v="L1828"/>
        <s v="L1829"/>
        <s v="L1830"/>
        <s v="L1831"/>
        <s v="L1832"/>
        <s v="L1833"/>
        <s v="L1834"/>
        <s v="L1835"/>
        <s v="L1836"/>
        <s v="L1837"/>
        <s v="L1838"/>
        <s v="L1839"/>
        <s v="L1840"/>
        <s v="L1841"/>
        <s v="L1842"/>
        <s v="L1843"/>
        <s v="L1844"/>
        <s v="L1845"/>
        <s v="L1846"/>
        <s v="L1847"/>
        <s v="L1848"/>
        <s v="L1849"/>
        <s v="L1850"/>
        <s v="L1851"/>
        <s v="L1852"/>
        <s v="L1853"/>
        <s v="L1854"/>
        <s v="L1855"/>
        <s v="L1856"/>
        <s v="L1857"/>
        <s v="L1858"/>
        <s v="L1859"/>
        <s v="L1860"/>
        <s v="L1861"/>
        <s v="L1862"/>
        <s v="L1863"/>
        <s v="L1864"/>
        <s v="L1865"/>
        <s v="L1866"/>
        <s v="L1867"/>
        <s v="L1868"/>
        <s v="L1869"/>
        <s v="L1870"/>
        <s v="L1871"/>
        <s v="L1872"/>
        <s v="L1873"/>
        <s v="L1874"/>
        <s v="L1875"/>
        <s v="L1876"/>
        <s v="L1877"/>
        <s v="L1878"/>
        <s v="L1879"/>
        <s v="L1880"/>
        <s v="L1881"/>
        <s v="L1882"/>
        <s v="L1883"/>
        <s v="L1884"/>
        <s v="L1885"/>
        <s v="L1886"/>
        <s v="L1887"/>
        <s v="L1888"/>
        <s v="L1889"/>
        <s v="L1890"/>
        <s v="L1891"/>
        <s v="L1892"/>
        <s v="L1893"/>
        <s v="L1894"/>
        <s v="L1895"/>
        <s v="L1896"/>
        <s v="L1897"/>
        <s v="L1898"/>
        <s v="L1899"/>
        <s v="L1900"/>
        <s v="L1901"/>
        <s v="L1902"/>
        <s v="L1903"/>
        <s v="L1904"/>
        <s v="L1905"/>
        <s v="L1906"/>
        <s v="L1907"/>
        <s v="L1908"/>
        <s v="L1909"/>
        <s v="L1910"/>
        <s v="L1911"/>
        <s v="L1912"/>
        <s v="L1913"/>
        <s v="L1914"/>
        <s v="L1915"/>
        <s v="L1916"/>
        <s v="L1917"/>
        <s v="L1918"/>
        <s v="L1919"/>
        <s v="L1920"/>
        <s v="L1921"/>
        <s v="L1922"/>
        <s v="L1923"/>
        <s v="L1924"/>
        <s v="L1925"/>
        <s v="L1926"/>
        <s v="L1927"/>
        <s v="L1928"/>
        <s v="L1929"/>
        <s v="L1930"/>
        <s v="L1931"/>
        <s v="L1932"/>
        <s v="L1933"/>
        <s v="L1934"/>
        <s v="L1935"/>
        <s v="L1936"/>
        <s v="L1937"/>
        <s v="L1938"/>
        <s v="L1939"/>
        <s v="L1940"/>
        <s v="L1941"/>
        <s v="L1942"/>
        <s v="L1943"/>
        <s v="L1944"/>
        <s v="L1945"/>
        <s v="L1946"/>
        <s v="L1947"/>
        <s v="L1948"/>
        <s v="L1949"/>
        <s v="L1950"/>
        <s v="L1951"/>
        <s v="L1952"/>
        <s v="L1953"/>
        <s v="L1954"/>
        <s v="L1955"/>
        <s v="L1956"/>
        <s v="L1957"/>
        <s v="L1958"/>
        <s v="L1959"/>
        <s v="L1960"/>
        <s v="L1961"/>
        <s v="L1962"/>
        <s v="L1963"/>
        <s v="L1964"/>
        <s v="L1965"/>
        <s v="L1966"/>
        <s v="L1967"/>
        <s v="L1968"/>
        <s v="L1969"/>
        <s v="L1970"/>
        <s v="L1971"/>
        <s v="L1972"/>
        <s v="L1973"/>
        <s v="L1974"/>
        <s v="L1975"/>
        <s v="L1976"/>
        <s v="L1977"/>
        <s v="L1978"/>
        <s v="L1979"/>
        <s v="L1980"/>
        <s v="L1981"/>
        <s v="L1982"/>
        <s v="L1983"/>
        <s v="L1984"/>
        <s v="L1985"/>
        <s v="L1986"/>
        <s v="L1987"/>
        <s v="L1988"/>
        <s v="L1989"/>
        <s v="L1990"/>
        <s v="L1991"/>
        <s v="L1992"/>
        <s v="L1993"/>
        <s v="L1994"/>
        <s v="L1995"/>
        <s v="L1996"/>
        <s v="L1997"/>
        <s v="L1998"/>
        <s v="L1999"/>
      </sharedItems>
    </cacheField>
    <cacheField name="Store Name" numFmtId="0">
      <sharedItems count="4">
        <s v="Bangalore MBC"/>
        <s v="Delhi MBC"/>
        <s v="Mumbai MBC"/>
        <s v="Chennai MBC"/>
      </sharedItems>
    </cacheField>
    <cacheField name="Lead Type" numFmtId="0">
      <sharedItems count="3">
        <s v="Warm"/>
        <s v="Cold"/>
        <s v="Hot"/>
      </sharedItems>
    </cacheField>
    <cacheField name="Lead Date" numFmtId="181">
      <sharedItems containsSemiMixedTypes="0" containsString="0" containsNonDate="0" containsDate="1" minDate="2025-10-01T00:00:00" maxDate="2025-10-31T00:00:00" count="31">
        <d v="2025-10-21T00:00:00"/>
        <d v="2025-10-11T00:00:00"/>
        <d v="2025-10-01T00:00:00"/>
        <d v="2025-10-28T00:00:00"/>
        <d v="2025-10-14T00:00:00"/>
        <d v="2025-10-27T00:00:00"/>
        <d v="2025-10-16T00:00:00"/>
        <d v="2025-10-04T00:00:00"/>
        <d v="2025-10-31T00:00:00"/>
        <d v="2025-10-12T00:00:00"/>
        <d v="2025-10-29T00:00:00"/>
        <d v="2025-10-15T00:00:00"/>
        <d v="2025-10-23T00:00:00"/>
        <d v="2025-10-05T00:00:00"/>
        <d v="2025-10-06T00:00:00"/>
        <d v="2025-10-24T00:00:00"/>
        <d v="2025-10-17T00:00:00"/>
        <d v="2025-10-09T00:00:00"/>
        <d v="2025-10-20T00:00:00"/>
        <d v="2025-10-26T00:00:00"/>
        <d v="2025-10-30T00:00:00"/>
        <d v="2025-10-18T00:00:00"/>
        <d v="2025-10-25T00:00:00"/>
        <d v="2025-10-19T00:00:00"/>
        <d v="2025-10-08T00:00:00"/>
        <d v="2025-10-03T00:00:00"/>
        <d v="2025-10-22T00:00:00"/>
        <d v="2025-10-13T00:00:00"/>
        <d v="2025-10-07T00:00:00"/>
        <d v="2025-10-10T00:00:00"/>
        <d v="2025-10-02T00:00:00"/>
      </sharedItems>
    </cacheField>
    <cacheField name="Pre-Booking Date" numFmtId="181">
      <sharedItems containsString="0" containsBlank="1" containsNonDate="0" containsDate="1" minDate="2025-10-02T00:00:00" maxDate="2025-11-05T00:00:00" count="36">
        <d v="2025-10-25T00:00:00"/>
        <d v="2025-10-14T00:00:00"/>
        <m/>
        <d v="2025-10-18T00:00:00"/>
        <d v="2025-10-31T00:00:00"/>
        <d v="2025-10-20T00:00:00"/>
        <d v="2025-10-05T00:00:00"/>
        <d v="2025-10-17T00:00:00"/>
        <d v="2025-11-04T00:00:00"/>
        <d v="2025-10-24T00:00:00"/>
        <d v="2025-11-01T00:00:00"/>
        <d v="2025-10-30T00:00:00"/>
        <d v="2025-10-27T00:00:00"/>
        <d v="2025-10-06T00:00:00"/>
        <d v="2025-10-15T00:00:00"/>
        <d v="2025-10-07T00:00:00"/>
        <d v="2025-10-21T00:00:00"/>
        <d v="2025-10-11T00:00:00"/>
        <d v="2025-10-23T00:00:00"/>
        <d v="2025-10-13T00:00:00"/>
        <d v="2025-10-12T00:00:00"/>
        <d v="2025-10-10T00:00:00"/>
        <d v="2025-10-19T00:00:00"/>
        <d v="2025-10-29T00:00:00"/>
        <d v="2025-10-16T00:00:00"/>
        <d v="2025-10-26T00:00:00"/>
        <d v="2025-10-04T00:00:00"/>
        <d v="2025-10-09T00:00:00"/>
        <d v="2025-10-28T00:00:00"/>
        <d v="2025-10-02T00:00:00"/>
        <d v="2025-10-08T00:00:00"/>
        <d v="2025-10-22T00:00:00"/>
        <d v="2025-11-05T00:00:00"/>
        <d v="2025-10-03T00:00:00"/>
        <d v="2025-11-02T00:00:00"/>
        <d v="2025-11-03T00:00:00"/>
      </sharedItems>
    </cacheField>
    <cacheField name="Booking Date" numFmtId="181">
      <sharedItems containsString="0" containsBlank="1" containsNonDate="0" containsDate="1" minDate="2025-10-03T00:00:00" maxDate="2025-11-10T00:00:00" count="40">
        <d v="2025-10-29T00:00:00"/>
        <d v="2025-10-19T00:00:00"/>
        <m/>
        <d v="2025-10-21T00:00:00"/>
        <d v="2025-11-04T00:00:00"/>
        <d v="2025-10-08T00:00:00"/>
        <d v="2025-10-20T00:00:00"/>
        <d v="2025-11-05T00:00:00"/>
        <d v="2025-10-28T00:00:00"/>
        <d v="2025-11-06T00:00:00"/>
        <d v="2025-11-02T00:00:00"/>
        <d v="2025-10-18T00:00:00"/>
        <d v="2025-11-01T00:00:00"/>
        <d v="2025-10-10T00:00:00"/>
        <d v="2025-10-12T00:00:00"/>
        <d v="2025-10-30T00:00:00"/>
        <d v="2025-10-23T00:00:00"/>
        <d v="2025-10-15T00:00:00"/>
        <d v="2025-10-27T00:00:00"/>
        <d v="2025-11-09T00:00:00"/>
        <d v="2025-10-16T00:00:00"/>
        <d v="2025-10-13T00:00:00"/>
        <d v="2025-11-03T00:00:00"/>
        <d v="2025-10-14T00:00:00"/>
        <d v="2025-10-22T00:00:00"/>
        <d v="2025-10-17T00:00:00"/>
        <d v="2025-10-26T00:00:00"/>
        <d v="2025-10-25T00:00:00"/>
        <d v="2025-10-24T00:00:00"/>
        <d v="2025-10-06T00:00:00"/>
        <d v="2025-10-11T00:00:00"/>
        <d v="2025-10-31T00:00:00"/>
        <d v="2025-10-05T00:00:00"/>
        <d v="2025-11-08T00:00:00"/>
        <d v="2025-10-04T00:00:00"/>
        <d v="2025-10-03T00:00:00"/>
        <d v="2025-10-07T00:00:00"/>
        <d v="2025-10-09T00:00:00"/>
        <d v="2025-11-07T00:00:00"/>
        <d v="2025-11-10T00:00:00"/>
      </sharedItems>
    </cacheField>
    <cacheField name="Delivery Date" numFmtId="0">
      <sharedItems containsString="0" containsBlank="1" containsDate="1" containsMixedTypes="1" count="45">
        <d v="2025-11-03T00:00:00"/>
        <d v="2025-10-26T00:00:00"/>
        <m/>
        <d v="2025-10-24T00:00:00"/>
        <d v="2025-11-07T00:00:00"/>
        <d v="2025-10-28T00:00:00"/>
        <d v="2025-10-15T00:00:00"/>
        <n v="45955"/>
        <d v="2025-11-10T00:00:00"/>
        <d v="2025-10-30T00:00:00"/>
        <d v="2025-11-13T00:00:00"/>
        <d v="2025-11-08T00:00:00"/>
        <d v="2025-10-21T00:00:00"/>
        <d v="2025-11-06T00:00:00"/>
        <d v="2025-10-16T00:00:00"/>
        <d v="2025-10-23T00:00:00"/>
        <d v="2025-10-17T00:00:00"/>
        <d v="2025-11-01T00:00:00"/>
        <d v="2025-11-05T00:00:00"/>
        <d v="2025-10-19T00:00:00"/>
        <d v="2025-11-15T00:00:00"/>
        <d v="2025-10-29T00:00:00"/>
        <d v="2025-10-20T00:00:00"/>
        <d v="2025-11-09T00:00:00"/>
        <d v="2025-10-31T00:00:00"/>
        <d v="2025-10-14T00:00:00"/>
        <d v="2025-11-02T00:00:00"/>
        <d v="2025-10-18T00:00:00"/>
        <d v="2025-10-12T00:00:00"/>
        <d v="2025-10-25T00:00:00"/>
        <d v="2025-10-08T00:00:00"/>
        <d v="2025-10-10T00:00:00"/>
        <d v="2025-10-22T00:00:00"/>
        <d v="2025-10-27T00:00:00"/>
        <d v="2025-11-14T00:00:00"/>
        <d v="2025-11-04T00:00:00"/>
        <d v="2025-10-09T00:00:00"/>
        <d v="2025-11-11T00:00:00"/>
        <d v="2025-10-07T00:00:00"/>
        <d v="2025-10-13T00:00:00"/>
        <d v="2025-11-12T00:00:00"/>
        <d v="2025-11-17T00:00:00"/>
        <d v="2025-10-06T00:00:00"/>
        <d v="2025-10-11T00:00:00"/>
        <d v="2025-11-16T00:00:00"/>
      </sharedItems>
    </cacheField>
    <cacheField name="Lead Status" numFmtId="182">
      <sharedItems count="2">
        <s v="Delivered"/>
        <s v="Lead"/>
      </sharedItems>
    </cacheField>
    <cacheField name="Pre-booking TAT (days)" numFmtId="182">
      <sharedItems containsSemiMixedTypes="0" containsString="0" containsNumber="1" containsInteger="1" minValue="0" maxValue="5" count="6">
        <n v="4"/>
        <n v="3"/>
        <n v="0"/>
        <n v="1"/>
        <n v="2"/>
        <n v="5"/>
      </sharedItems>
    </cacheField>
    <cacheField name="Booking TAT (days)" numFmtId="182">
      <sharedItems containsSemiMixedTypes="0" containsString="0" containsNumber="1" containsInteger="1" minValue="0" maxValue="5" count="6">
        <n v="4"/>
        <n v="5"/>
        <n v="0"/>
        <n v="3"/>
        <n v="1"/>
        <n v="2"/>
      </sharedItems>
    </cacheField>
    <cacheField name="Delivery TAT (days)" numFmtId="182">
      <sharedItems containsSemiMixedTypes="0" containsString="0" containsNumber="1" containsInteger="1" minValue="0" maxValue="7" count="7">
        <n v="5"/>
        <n v="7"/>
        <n v="0"/>
        <n v="3"/>
        <n v="2"/>
        <n v="6"/>
        <n v="4"/>
      </sharedItems>
    </cacheField>
    <cacheField name="Cancellation Status" numFmtId="0">
      <sharedItems count="2">
        <s v="No"/>
        <s v="Yes"/>
      </sharedItems>
    </cacheField>
    <cacheField name="Cancellation Reason" numFmtId="0">
      <sharedItems containsBlank="1" count="6">
        <m/>
        <s v="Other"/>
        <s v="Model Unavailable"/>
        <s v="Changed Mind"/>
        <s v="Financing Issue"/>
        <s v="Price"/>
      </sharedItems>
    </cacheField>
    <cacheField name="Service Follow-up Date" numFmtId="181">
      <sharedItems containsString="0" containsBlank="1" containsNonDate="0" containsDate="1" minDate="2025-10-19T00:00:00" maxDate="2025-12-15T00:00:00" count="57">
        <d v="2025-11-28T00:00:00"/>
        <d v="2025-11-22T00:00:00"/>
        <m/>
        <d v="2025-11-12T00:00:00"/>
        <d v="2025-11-05T00:00:00"/>
        <d v="2025-11-10T00:00:00"/>
        <d v="2025-11-30T00:00:00"/>
        <d v="2025-12-07T00:00:00"/>
        <d v="2025-11-23T00:00:00"/>
        <d v="2025-10-26T00:00:00"/>
        <d v="2025-11-18T00:00:00"/>
        <d v="2025-11-11T00:00:00"/>
        <d v="2025-11-19T00:00:00"/>
        <d v="2025-12-04T00:00:00"/>
        <d v="2025-11-17T00:00:00"/>
        <d v="2025-11-02T00:00:00"/>
        <d v="2025-12-05T00:00:00"/>
        <d v="2025-11-09T00:00:00"/>
        <d v="2025-11-06T00:00:00"/>
        <d v="2025-11-13T00:00:00"/>
        <d v="2025-11-15T00:00:00"/>
        <d v="2025-11-29T00:00:00"/>
        <d v="2025-11-04T00:00:00"/>
        <d v="2025-11-26T00:00:00"/>
        <d v="2025-11-20T00:00:00"/>
        <d v="2025-11-14T00:00:00"/>
        <d v="2025-11-07T00:00:00"/>
        <d v="2025-12-01T00:00:00"/>
        <d v="2025-10-23T00:00:00"/>
        <d v="2025-10-29T00:00:00"/>
        <d v="2025-11-24T00:00:00"/>
        <d v="2025-11-21T00:00:00"/>
        <d v="2025-11-08T00:00:00"/>
        <d v="2025-11-01T00:00:00"/>
        <d v="2025-10-30T00:00:00"/>
        <d v="2025-10-21T00:00:00"/>
        <d v="2025-10-25T00:00:00"/>
        <d v="2025-10-27T00:00:00"/>
        <d v="2025-10-31T00:00:00"/>
        <d v="2025-11-03T00:00:00"/>
        <d v="2025-12-08T00:00:00"/>
        <d v="2025-10-24T00:00:00"/>
        <d v="2025-11-16T00:00:00"/>
        <d v="2025-11-27T00:00:00"/>
        <d v="2025-12-02T00:00:00"/>
        <d v="2025-10-22T00:00:00"/>
        <d v="2025-10-28T00:00:00"/>
        <d v="2025-12-09T00:00:00"/>
        <d v="2025-12-12T00:00:00"/>
        <d v="2025-11-25T00:00:00"/>
        <d v="2025-12-11T00:00:00"/>
        <d v="2025-12-03T00:00:00"/>
        <d v="2025-12-06T00:00:00"/>
        <d v="2025-12-10T00:00:00"/>
        <d v="2025-12-14T00:00:00"/>
        <d v="2025-10-19T00:00:00"/>
        <d v="2025-12-15T00:00:00"/>
      </sharedItems>
    </cacheField>
    <cacheField name="TAT Pre-Booking (Days)" numFmtId="0">
      <sharedItems containsString="0" containsBlank="1" containsNumber="1" containsInteger="1" minValue="0" maxValue="5" count="6">
        <n v="4"/>
        <n v="3"/>
        <m/>
        <n v="1"/>
        <n v="2"/>
        <n v="5"/>
      </sharedItems>
    </cacheField>
    <cacheField name="TAT Booking (Days)" numFmtId="0">
      <sharedItems containsString="0" containsBlank="1" containsNumber="1" containsInteger="1" minValue="0" maxValue="5" count="6">
        <n v="4"/>
        <n v="5"/>
        <m/>
        <n v="3"/>
        <n v="1"/>
        <n v="2"/>
      </sharedItems>
    </cacheField>
    <cacheField name="TAT Delivery (Days)" numFmtId="0">
      <sharedItems containsString="0" containsBlank="1" containsNumber="1" containsInteger="1" minValue="0" maxValue="7" count="7">
        <n v="5"/>
        <n v="7"/>
        <m/>
        <n v="3"/>
        <n v="2"/>
        <n v="6"/>
        <n v="4"/>
      </sharedItems>
    </cacheField>
    <cacheField name="Customer Rating" numFmtId="0">
      <sharedItems containsString="0" containsBlank="1" containsNumber="1" containsInteger="1" minValue="0" maxValue="10" count="12">
        <n v="2"/>
        <n v="8"/>
        <m/>
        <n v="9"/>
        <n v="10"/>
        <n v="6"/>
        <n v="0"/>
        <n v="5"/>
        <n v="4"/>
        <n v="3"/>
        <n v="1"/>
        <n v="7"/>
      </sharedItems>
    </cacheField>
    <cacheField name="NPS" numFmtId="0">
      <sharedItems count="3">
        <s v="Detractor"/>
        <s v="Passive"/>
        <s v="Promoter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0"/>
    <x v="1"/>
    <x v="1"/>
    <x v="1"/>
    <x v="1"/>
    <x v="0"/>
    <x v="1"/>
    <x v="1"/>
    <x v="1"/>
    <x v="0"/>
    <x v="0"/>
    <x v="1"/>
    <x v="1"/>
    <x v="1"/>
    <x v="1"/>
    <x v="1"/>
  </r>
  <r>
    <x v="2"/>
    <x v="2"/>
    <x v="1"/>
    <x v="2"/>
    <x v="2"/>
    <x v="2"/>
    <x v="2"/>
    <x v="1"/>
    <x v="2"/>
    <x v="2"/>
    <x v="2"/>
    <x v="1"/>
    <x v="1"/>
    <x v="2"/>
    <x v="2"/>
    <x v="2"/>
    <x v="2"/>
    <x v="2"/>
  </r>
  <r>
    <x v="3"/>
    <x v="0"/>
    <x v="1"/>
    <x v="3"/>
    <x v="2"/>
    <x v="2"/>
    <x v="2"/>
    <x v="1"/>
    <x v="2"/>
    <x v="2"/>
    <x v="2"/>
    <x v="1"/>
    <x v="2"/>
    <x v="2"/>
    <x v="2"/>
    <x v="2"/>
    <x v="2"/>
    <x v="2"/>
  </r>
  <r>
    <x v="4"/>
    <x v="1"/>
    <x v="0"/>
    <x v="4"/>
    <x v="3"/>
    <x v="3"/>
    <x v="3"/>
    <x v="0"/>
    <x v="0"/>
    <x v="3"/>
    <x v="3"/>
    <x v="0"/>
    <x v="0"/>
    <x v="3"/>
    <x v="0"/>
    <x v="3"/>
    <x v="3"/>
    <x v="1"/>
  </r>
  <r>
    <x v="5"/>
    <x v="1"/>
    <x v="0"/>
    <x v="5"/>
    <x v="4"/>
    <x v="4"/>
    <x v="4"/>
    <x v="0"/>
    <x v="0"/>
    <x v="0"/>
    <x v="3"/>
    <x v="0"/>
    <x v="0"/>
    <x v="1"/>
    <x v="0"/>
    <x v="0"/>
    <x v="3"/>
    <x v="3"/>
  </r>
  <r>
    <x v="6"/>
    <x v="2"/>
    <x v="2"/>
    <x v="6"/>
    <x v="5"/>
    <x v="3"/>
    <x v="5"/>
    <x v="0"/>
    <x v="0"/>
    <x v="4"/>
    <x v="1"/>
    <x v="0"/>
    <x v="0"/>
    <x v="1"/>
    <x v="0"/>
    <x v="4"/>
    <x v="1"/>
    <x v="4"/>
  </r>
  <r>
    <x v="7"/>
    <x v="3"/>
    <x v="0"/>
    <x v="7"/>
    <x v="6"/>
    <x v="5"/>
    <x v="6"/>
    <x v="0"/>
    <x v="3"/>
    <x v="3"/>
    <x v="1"/>
    <x v="1"/>
    <x v="3"/>
    <x v="2"/>
    <x v="3"/>
    <x v="3"/>
    <x v="1"/>
    <x v="2"/>
  </r>
  <r>
    <x v="8"/>
    <x v="0"/>
    <x v="2"/>
    <x v="4"/>
    <x v="7"/>
    <x v="6"/>
    <x v="7"/>
    <x v="0"/>
    <x v="1"/>
    <x v="3"/>
    <x v="0"/>
    <x v="0"/>
    <x v="0"/>
    <x v="4"/>
    <x v="1"/>
    <x v="3"/>
    <x v="0"/>
    <x v="1"/>
  </r>
  <r>
    <x v="9"/>
    <x v="2"/>
    <x v="0"/>
    <x v="8"/>
    <x v="8"/>
    <x v="7"/>
    <x v="8"/>
    <x v="0"/>
    <x v="0"/>
    <x v="4"/>
    <x v="0"/>
    <x v="0"/>
    <x v="0"/>
    <x v="1"/>
    <x v="0"/>
    <x v="4"/>
    <x v="0"/>
    <x v="5"/>
  </r>
  <r>
    <x v="10"/>
    <x v="0"/>
    <x v="1"/>
    <x v="9"/>
    <x v="2"/>
    <x v="2"/>
    <x v="2"/>
    <x v="1"/>
    <x v="2"/>
    <x v="2"/>
    <x v="2"/>
    <x v="1"/>
    <x v="1"/>
    <x v="2"/>
    <x v="2"/>
    <x v="2"/>
    <x v="2"/>
    <x v="2"/>
  </r>
  <r>
    <x v="11"/>
    <x v="1"/>
    <x v="0"/>
    <x v="0"/>
    <x v="9"/>
    <x v="8"/>
    <x v="9"/>
    <x v="0"/>
    <x v="1"/>
    <x v="0"/>
    <x v="4"/>
    <x v="0"/>
    <x v="0"/>
    <x v="5"/>
    <x v="1"/>
    <x v="0"/>
    <x v="4"/>
    <x v="6"/>
  </r>
  <r>
    <x v="12"/>
    <x v="1"/>
    <x v="0"/>
    <x v="10"/>
    <x v="10"/>
    <x v="9"/>
    <x v="10"/>
    <x v="0"/>
    <x v="1"/>
    <x v="1"/>
    <x v="1"/>
    <x v="0"/>
    <x v="0"/>
    <x v="6"/>
    <x v="1"/>
    <x v="1"/>
    <x v="1"/>
    <x v="4"/>
  </r>
  <r>
    <x v="13"/>
    <x v="3"/>
    <x v="0"/>
    <x v="5"/>
    <x v="11"/>
    <x v="10"/>
    <x v="11"/>
    <x v="0"/>
    <x v="1"/>
    <x v="3"/>
    <x v="5"/>
    <x v="0"/>
    <x v="0"/>
    <x v="7"/>
    <x v="1"/>
    <x v="3"/>
    <x v="5"/>
    <x v="0"/>
  </r>
  <r>
    <x v="14"/>
    <x v="1"/>
    <x v="2"/>
    <x v="11"/>
    <x v="7"/>
    <x v="11"/>
    <x v="12"/>
    <x v="0"/>
    <x v="4"/>
    <x v="4"/>
    <x v="3"/>
    <x v="1"/>
    <x v="3"/>
    <x v="2"/>
    <x v="4"/>
    <x v="4"/>
    <x v="3"/>
    <x v="2"/>
  </r>
  <r>
    <x v="15"/>
    <x v="1"/>
    <x v="0"/>
    <x v="12"/>
    <x v="12"/>
    <x v="12"/>
    <x v="13"/>
    <x v="0"/>
    <x v="0"/>
    <x v="1"/>
    <x v="0"/>
    <x v="0"/>
    <x v="0"/>
    <x v="8"/>
    <x v="0"/>
    <x v="1"/>
    <x v="0"/>
    <x v="1"/>
  </r>
  <r>
    <x v="16"/>
    <x v="2"/>
    <x v="2"/>
    <x v="13"/>
    <x v="13"/>
    <x v="13"/>
    <x v="14"/>
    <x v="0"/>
    <x v="3"/>
    <x v="0"/>
    <x v="5"/>
    <x v="0"/>
    <x v="0"/>
    <x v="9"/>
    <x v="3"/>
    <x v="0"/>
    <x v="5"/>
    <x v="0"/>
  </r>
  <r>
    <x v="17"/>
    <x v="0"/>
    <x v="2"/>
    <x v="4"/>
    <x v="14"/>
    <x v="11"/>
    <x v="15"/>
    <x v="0"/>
    <x v="3"/>
    <x v="3"/>
    <x v="0"/>
    <x v="0"/>
    <x v="0"/>
    <x v="10"/>
    <x v="3"/>
    <x v="3"/>
    <x v="0"/>
    <x v="6"/>
  </r>
  <r>
    <x v="18"/>
    <x v="0"/>
    <x v="0"/>
    <x v="14"/>
    <x v="15"/>
    <x v="14"/>
    <x v="16"/>
    <x v="0"/>
    <x v="3"/>
    <x v="1"/>
    <x v="0"/>
    <x v="0"/>
    <x v="0"/>
    <x v="11"/>
    <x v="3"/>
    <x v="1"/>
    <x v="0"/>
    <x v="7"/>
  </r>
  <r>
    <x v="19"/>
    <x v="2"/>
    <x v="0"/>
    <x v="15"/>
    <x v="0"/>
    <x v="15"/>
    <x v="17"/>
    <x v="0"/>
    <x v="3"/>
    <x v="1"/>
    <x v="4"/>
    <x v="0"/>
    <x v="0"/>
    <x v="11"/>
    <x v="3"/>
    <x v="1"/>
    <x v="4"/>
    <x v="8"/>
  </r>
  <r>
    <x v="20"/>
    <x v="3"/>
    <x v="0"/>
    <x v="16"/>
    <x v="16"/>
    <x v="16"/>
    <x v="9"/>
    <x v="0"/>
    <x v="0"/>
    <x v="5"/>
    <x v="1"/>
    <x v="0"/>
    <x v="0"/>
    <x v="12"/>
    <x v="0"/>
    <x v="5"/>
    <x v="1"/>
    <x v="5"/>
  </r>
  <r>
    <x v="21"/>
    <x v="0"/>
    <x v="2"/>
    <x v="8"/>
    <x v="10"/>
    <x v="10"/>
    <x v="18"/>
    <x v="0"/>
    <x v="3"/>
    <x v="4"/>
    <x v="3"/>
    <x v="0"/>
    <x v="0"/>
    <x v="13"/>
    <x v="3"/>
    <x v="4"/>
    <x v="3"/>
    <x v="9"/>
  </r>
  <r>
    <x v="22"/>
    <x v="1"/>
    <x v="0"/>
    <x v="0"/>
    <x v="9"/>
    <x v="0"/>
    <x v="17"/>
    <x v="0"/>
    <x v="1"/>
    <x v="1"/>
    <x v="3"/>
    <x v="0"/>
    <x v="0"/>
    <x v="14"/>
    <x v="1"/>
    <x v="1"/>
    <x v="3"/>
    <x v="1"/>
  </r>
  <r>
    <x v="23"/>
    <x v="0"/>
    <x v="0"/>
    <x v="17"/>
    <x v="17"/>
    <x v="17"/>
    <x v="19"/>
    <x v="0"/>
    <x v="4"/>
    <x v="0"/>
    <x v="6"/>
    <x v="0"/>
    <x v="0"/>
    <x v="15"/>
    <x v="4"/>
    <x v="0"/>
    <x v="6"/>
    <x v="9"/>
  </r>
  <r>
    <x v="24"/>
    <x v="1"/>
    <x v="0"/>
    <x v="18"/>
    <x v="0"/>
    <x v="18"/>
    <x v="0"/>
    <x v="0"/>
    <x v="5"/>
    <x v="5"/>
    <x v="1"/>
    <x v="0"/>
    <x v="0"/>
    <x v="8"/>
    <x v="5"/>
    <x v="5"/>
    <x v="1"/>
    <x v="10"/>
  </r>
  <r>
    <x v="25"/>
    <x v="3"/>
    <x v="0"/>
    <x v="19"/>
    <x v="12"/>
    <x v="12"/>
    <x v="0"/>
    <x v="0"/>
    <x v="3"/>
    <x v="1"/>
    <x v="4"/>
    <x v="0"/>
    <x v="0"/>
    <x v="10"/>
    <x v="3"/>
    <x v="1"/>
    <x v="4"/>
    <x v="8"/>
  </r>
  <r>
    <x v="26"/>
    <x v="2"/>
    <x v="0"/>
    <x v="20"/>
    <x v="8"/>
    <x v="19"/>
    <x v="20"/>
    <x v="0"/>
    <x v="5"/>
    <x v="1"/>
    <x v="5"/>
    <x v="0"/>
    <x v="0"/>
    <x v="16"/>
    <x v="5"/>
    <x v="1"/>
    <x v="5"/>
    <x v="10"/>
  </r>
  <r>
    <x v="27"/>
    <x v="0"/>
    <x v="0"/>
    <x v="21"/>
    <x v="18"/>
    <x v="18"/>
    <x v="21"/>
    <x v="0"/>
    <x v="5"/>
    <x v="0"/>
    <x v="4"/>
    <x v="0"/>
    <x v="0"/>
    <x v="17"/>
    <x v="5"/>
    <x v="0"/>
    <x v="4"/>
    <x v="9"/>
  </r>
  <r>
    <x v="28"/>
    <x v="2"/>
    <x v="0"/>
    <x v="22"/>
    <x v="11"/>
    <x v="12"/>
    <x v="4"/>
    <x v="0"/>
    <x v="5"/>
    <x v="5"/>
    <x v="5"/>
    <x v="0"/>
    <x v="0"/>
    <x v="14"/>
    <x v="5"/>
    <x v="5"/>
    <x v="5"/>
    <x v="9"/>
  </r>
  <r>
    <x v="29"/>
    <x v="0"/>
    <x v="1"/>
    <x v="6"/>
    <x v="2"/>
    <x v="2"/>
    <x v="2"/>
    <x v="1"/>
    <x v="2"/>
    <x v="2"/>
    <x v="2"/>
    <x v="1"/>
    <x v="3"/>
    <x v="2"/>
    <x v="2"/>
    <x v="2"/>
    <x v="2"/>
    <x v="2"/>
  </r>
  <r>
    <x v="30"/>
    <x v="1"/>
    <x v="0"/>
    <x v="11"/>
    <x v="3"/>
    <x v="6"/>
    <x v="15"/>
    <x v="0"/>
    <x v="1"/>
    <x v="5"/>
    <x v="3"/>
    <x v="0"/>
    <x v="0"/>
    <x v="18"/>
    <x v="1"/>
    <x v="5"/>
    <x v="3"/>
    <x v="9"/>
  </r>
  <r>
    <x v="31"/>
    <x v="2"/>
    <x v="0"/>
    <x v="4"/>
    <x v="14"/>
    <x v="20"/>
    <x v="22"/>
    <x v="0"/>
    <x v="3"/>
    <x v="4"/>
    <x v="6"/>
    <x v="0"/>
    <x v="0"/>
    <x v="14"/>
    <x v="3"/>
    <x v="4"/>
    <x v="6"/>
    <x v="7"/>
  </r>
  <r>
    <x v="32"/>
    <x v="0"/>
    <x v="0"/>
    <x v="5"/>
    <x v="4"/>
    <x v="7"/>
    <x v="23"/>
    <x v="0"/>
    <x v="0"/>
    <x v="1"/>
    <x v="6"/>
    <x v="0"/>
    <x v="0"/>
    <x v="8"/>
    <x v="0"/>
    <x v="1"/>
    <x v="6"/>
    <x v="9"/>
  </r>
  <r>
    <x v="33"/>
    <x v="1"/>
    <x v="0"/>
    <x v="15"/>
    <x v="12"/>
    <x v="8"/>
    <x v="24"/>
    <x v="0"/>
    <x v="1"/>
    <x v="4"/>
    <x v="3"/>
    <x v="0"/>
    <x v="0"/>
    <x v="19"/>
    <x v="1"/>
    <x v="4"/>
    <x v="3"/>
    <x v="9"/>
  </r>
  <r>
    <x v="34"/>
    <x v="2"/>
    <x v="1"/>
    <x v="23"/>
    <x v="2"/>
    <x v="2"/>
    <x v="2"/>
    <x v="1"/>
    <x v="2"/>
    <x v="2"/>
    <x v="2"/>
    <x v="1"/>
    <x v="2"/>
    <x v="2"/>
    <x v="2"/>
    <x v="2"/>
    <x v="2"/>
    <x v="2"/>
  </r>
  <r>
    <x v="35"/>
    <x v="2"/>
    <x v="0"/>
    <x v="17"/>
    <x v="19"/>
    <x v="17"/>
    <x v="22"/>
    <x v="0"/>
    <x v="0"/>
    <x v="5"/>
    <x v="0"/>
    <x v="0"/>
    <x v="0"/>
    <x v="20"/>
    <x v="0"/>
    <x v="5"/>
    <x v="0"/>
    <x v="3"/>
  </r>
  <r>
    <x v="36"/>
    <x v="0"/>
    <x v="0"/>
    <x v="1"/>
    <x v="20"/>
    <x v="21"/>
    <x v="6"/>
    <x v="0"/>
    <x v="3"/>
    <x v="4"/>
    <x v="4"/>
    <x v="1"/>
    <x v="4"/>
    <x v="2"/>
    <x v="3"/>
    <x v="4"/>
    <x v="4"/>
    <x v="2"/>
  </r>
  <r>
    <x v="37"/>
    <x v="0"/>
    <x v="0"/>
    <x v="3"/>
    <x v="4"/>
    <x v="4"/>
    <x v="11"/>
    <x v="0"/>
    <x v="1"/>
    <x v="0"/>
    <x v="6"/>
    <x v="0"/>
    <x v="0"/>
    <x v="21"/>
    <x v="1"/>
    <x v="0"/>
    <x v="6"/>
    <x v="0"/>
  </r>
  <r>
    <x v="38"/>
    <x v="0"/>
    <x v="0"/>
    <x v="24"/>
    <x v="19"/>
    <x v="20"/>
    <x v="15"/>
    <x v="0"/>
    <x v="5"/>
    <x v="3"/>
    <x v="1"/>
    <x v="0"/>
    <x v="0"/>
    <x v="22"/>
    <x v="5"/>
    <x v="3"/>
    <x v="1"/>
    <x v="3"/>
  </r>
  <r>
    <x v="39"/>
    <x v="1"/>
    <x v="0"/>
    <x v="5"/>
    <x v="11"/>
    <x v="22"/>
    <x v="11"/>
    <x v="0"/>
    <x v="1"/>
    <x v="0"/>
    <x v="0"/>
    <x v="1"/>
    <x v="1"/>
    <x v="2"/>
    <x v="1"/>
    <x v="0"/>
    <x v="0"/>
    <x v="2"/>
  </r>
  <r>
    <x v="40"/>
    <x v="0"/>
    <x v="1"/>
    <x v="20"/>
    <x v="2"/>
    <x v="2"/>
    <x v="2"/>
    <x v="1"/>
    <x v="2"/>
    <x v="2"/>
    <x v="2"/>
    <x v="1"/>
    <x v="2"/>
    <x v="2"/>
    <x v="2"/>
    <x v="2"/>
    <x v="2"/>
    <x v="2"/>
  </r>
  <r>
    <x v="41"/>
    <x v="2"/>
    <x v="0"/>
    <x v="25"/>
    <x v="13"/>
    <x v="5"/>
    <x v="25"/>
    <x v="0"/>
    <x v="1"/>
    <x v="5"/>
    <x v="5"/>
    <x v="0"/>
    <x v="0"/>
    <x v="22"/>
    <x v="1"/>
    <x v="5"/>
    <x v="5"/>
    <x v="5"/>
  </r>
  <r>
    <x v="42"/>
    <x v="2"/>
    <x v="0"/>
    <x v="17"/>
    <x v="21"/>
    <x v="23"/>
    <x v="12"/>
    <x v="0"/>
    <x v="3"/>
    <x v="0"/>
    <x v="1"/>
    <x v="0"/>
    <x v="0"/>
    <x v="3"/>
    <x v="3"/>
    <x v="0"/>
    <x v="1"/>
    <x v="11"/>
  </r>
  <r>
    <x v="43"/>
    <x v="0"/>
    <x v="1"/>
    <x v="10"/>
    <x v="2"/>
    <x v="2"/>
    <x v="2"/>
    <x v="1"/>
    <x v="2"/>
    <x v="2"/>
    <x v="2"/>
    <x v="1"/>
    <x v="3"/>
    <x v="2"/>
    <x v="2"/>
    <x v="2"/>
    <x v="2"/>
    <x v="2"/>
  </r>
  <r>
    <x v="44"/>
    <x v="0"/>
    <x v="2"/>
    <x v="11"/>
    <x v="5"/>
    <x v="24"/>
    <x v="1"/>
    <x v="0"/>
    <x v="5"/>
    <x v="5"/>
    <x v="6"/>
    <x v="0"/>
    <x v="0"/>
    <x v="8"/>
    <x v="5"/>
    <x v="5"/>
    <x v="6"/>
    <x v="1"/>
  </r>
  <r>
    <x v="45"/>
    <x v="3"/>
    <x v="2"/>
    <x v="24"/>
    <x v="19"/>
    <x v="25"/>
    <x v="15"/>
    <x v="0"/>
    <x v="5"/>
    <x v="0"/>
    <x v="5"/>
    <x v="0"/>
    <x v="0"/>
    <x v="4"/>
    <x v="5"/>
    <x v="0"/>
    <x v="5"/>
    <x v="9"/>
  </r>
  <r>
    <x v="46"/>
    <x v="2"/>
    <x v="0"/>
    <x v="22"/>
    <x v="12"/>
    <x v="12"/>
    <x v="13"/>
    <x v="0"/>
    <x v="4"/>
    <x v="1"/>
    <x v="0"/>
    <x v="0"/>
    <x v="0"/>
    <x v="23"/>
    <x v="4"/>
    <x v="1"/>
    <x v="0"/>
    <x v="7"/>
  </r>
  <r>
    <x v="47"/>
    <x v="1"/>
    <x v="1"/>
    <x v="11"/>
    <x v="2"/>
    <x v="2"/>
    <x v="2"/>
    <x v="1"/>
    <x v="2"/>
    <x v="2"/>
    <x v="2"/>
    <x v="1"/>
    <x v="2"/>
    <x v="2"/>
    <x v="2"/>
    <x v="2"/>
    <x v="2"/>
    <x v="2"/>
  </r>
  <r>
    <x v="48"/>
    <x v="3"/>
    <x v="2"/>
    <x v="23"/>
    <x v="16"/>
    <x v="26"/>
    <x v="17"/>
    <x v="0"/>
    <x v="4"/>
    <x v="1"/>
    <x v="5"/>
    <x v="0"/>
    <x v="0"/>
    <x v="24"/>
    <x v="4"/>
    <x v="1"/>
    <x v="5"/>
    <x v="6"/>
  </r>
  <r>
    <x v="49"/>
    <x v="0"/>
    <x v="2"/>
    <x v="18"/>
    <x v="9"/>
    <x v="8"/>
    <x v="26"/>
    <x v="0"/>
    <x v="0"/>
    <x v="0"/>
    <x v="0"/>
    <x v="0"/>
    <x v="0"/>
    <x v="1"/>
    <x v="0"/>
    <x v="0"/>
    <x v="0"/>
    <x v="5"/>
  </r>
  <r>
    <x v="50"/>
    <x v="0"/>
    <x v="2"/>
    <x v="26"/>
    <x v="9"/>
    <x v="27"/>
    <x v="24"/>
    <x v="0"/>
    <x v="4"/>
    <x v="4"/>
    <x v="5"/>
    <x v="0"/>
    <x v="0"/>
    <x v="25"/>
    <x v="4"/>
    <x v="4"/>
    <x v="5"/>
    <x v="5"/>
  </r>
  <r>
    <x v="51"/>
    <x v="2"/>
    <x v="2"/>
    <x v="27"/>
    <x v="1"/>
    <x v="20"/>
    <x v="27"/>
    <x v="0"/>
    <x v="3"/>
    <x v="5"/>
    <x v="4"/>
    <x v="0"/>
    <x v="0"/>
    <x v="15"/>
    <x v="3"/>
    <x v="5"/>
    <x v="4"/>
    <x v="5"/>
  </r>
  <r>
    <x v="52"/>
    <x v="0"/>
    <x v="2"/>
    <x v="1"/>
    <x v="1"/>
    <x v="1"/>
    <x v="15"/>
    <x v="0"/>
    <x v="1"/>
    <x v="1"/>
    <x v="6"/>
    <x v="0"/>
    <x v="0"/>
    <x v="20"/>
    <x v="1"/>
    <x v="1"/>
    <x v="6"/>
    <x v="8"/>
  </r>
  <r>
    <x v="53"/>
    <x v="1"/>
    <x v="0"/>
    <x v="2"/>
    <x v="13"/>
    <x v="5"/>
    <x v="28"/>
    <x v="0"/>
    <x v="5"/>
    <x v="5"/>
    <x v="6"/>
    <x v="0"/>
    <x v="0"/>
    <x v="11"/>
    <x v="5"/>
    <x v="5"/>
    <x v="6"/>
    <x v="8"/>
  </r>
  <r>
    <x v="54"/>
    <x v="2"/>
    <x v="0"/>
    <x v="6"/>
    <x v="22"/>
    <x v="28"/>
    <x v="21"/>
    <x v="0"/>
    <x v="1"/>
    <x v="1"/>
    <x v="0"/>
    <x v="0"/>
    <x v="0"/>
    <x v="8"/>
    <x v="1"/>
    <x v="1"/>
    <x v="0"/>
    <x v="1"/>
  </r>
  <r>
    <x v="55"/>
    <x v="0"/>
    <x v="2"/>
    <x v="3"/>
    <x v="23"/>
    <x v="12"/>
    <x v="4"/>
    <x v="0"/>
    <x v="3"/>
    <x v="3"/>
    <x v="5"/>
    <x v="0"/>
    <x v="0"/>
    <x v="7"/>
    <x v="3"/>
    <x v="3"/>
    <x v="5"/>
    <x v="9"/>
  </r>
  <r>
    <x v="56"/>
    <x v="2"/>
    <x v="0"/>
    <x v="1"/>
    <x v="1"/>
    <x v="11"/>
    <x v="12"/>
    <x v="0"/>
    <x v="1"/>
    <x v="0"/>
    <x v="3"/>
    <x v="0"/>
    <x v="0"/>
    <x v="5"/>
    <x v="1"/>
    <x v="0"/>
    <x v="3"/>
    <x v="5"/>
  </r>
  <r>
    <x v="57"/>
    <x v="0"/>
    <x v="2"/>
    <x v="14"/>
    <x v="17"/>
    <x v="20"/>
    <x v="15"/>
    <x v="0"/>
    <x v="5"/>
    <x v="1"/>
    <x v="1"/>
    <x v="0"/>
    <x v="0"/>
    <x v="26"/>
    <x v="5"/>
    <x v="1"/>
    <x v="1"/>
    <x v="10"/>
  </r>
  <r>
    <x v="58"/>
    <x v="0"/>
    <x v="0"/>
    <x v="6"/>
    <x v="3"/>
    <x v="24"/>
    <x v="21"/>
    <x v="0"/>
    <x v="4"/>
    <x v="0"/>
    <x v="1"/>
    <x v="1"/>
    <x v="4"/>
    <x v="2"/>
    <x v="4"/>
    <x v="0"/>
    <x v="1"/>
    <x v="2"/>
  </r>
  <r>
    <x v="59"/>
    <x v="0"/>
    <x v="0"/>
    <x v="28"/>
    <x v="17"/>
    <x v="23"/>
    <x v="27"/>
    <x v="0"/>
    <x v="0"/>
    <x v="3"/>
    <x v="6"/>
    <x v="0"/>
    <x v="0"/>
    <x v="25"/>
    <x v="0"/>
    <x v="3"/>
    <x v="6"/>
    <x v="0"/>
  </r>
  <r>
    <x v="60"/>
    <x v="1"/>
    <x v="0"/>
    <x v="9"/>
    <x v="7"/>
    <x v="1"/>
    <x v="29"/>
    <x v="0"/>
    <x v="5"/>
    <x v="5"/>
    <x v="5"/>
    <x v="0"/>
    <x v="0"/>
    <x v="8"/>
    <x v="5"/>
    <x v="5"/>
    <x v="5"/>
    <x v="11"/>
  </r>
  <r>
    <x v="61"/>
    <x v="1"/>
    <x v="2"/>
    <x v="19"/>
    <x v="4"/>
    <x v="4"/>
    <x v="8"/>
    <x v="0"/>
    <x v="5"/>
    <x v="0"/>
    <x v="5"/>
    <x v="0"/>
    <x v="0"/>
    <x v="27"/>
    <x v="5"/>
    <x v="0"/>
    <x v="5"/>
    <x v="3"/>
  </r>
  <r>
    <x v="62"/>
    <x v="2"/>
    <x v="0"/>
    <x v="17"/>
    <x v="1"/>
    <x v="1"/>
    <x v="12"/>
    <x v="0"/>
    <x v="5"/>
    <x v="1"/>
    <x v="4"/>
    <x v="0"/>
    <x v="0"/>
    <x v="26"/>
    <x v="5"/>
    <x v="1"/>
    <x v="4"/>
    <x v="9"/>
  </r>
  <r>
    <x v="63"/>
    <x v="0"/>
    <x v="2"/>
    <x v="1"/>
    <x v="24"/>
    <x v="1"/>
    <x v="1"/>
    <x v="0"/>
    <x v="5"/>
    <x v="3"/>
    <x v="1"/>
    <x v="0"/>
    <x v="0"/>
    <x v="8"/>
    <x v="5"/>
    <x v="3"/>
    <x v="1"/>
    <x v="9"/>
  </r>
  <r>
    <x v="64"/>
    <x v="0"/>
    <x v="1"/>
    <x v="17"/>
    <x v="2"/>
    <x v="2"/>
    <x v="2"/>
    <x v="1"/>
    <x v="2"/>
    <x v="2"/>
    <x v="2"/>
    <x v="1"/>
    <x v="1"/>
    <x v="2"/>
    <x v="2"/>
    <x v="2"/>
    <x v="2"/>
    <x v="2"/>
  </r>
  <r>
    <x v="65"/>
    <x v="1"/>
    <x v="0"/>
    <x v="10"/>
    <x v="11"/>
    <x v="4"/>
    <x v="4"/>
    <x v="0"/>
    <x v="3"/>
    <x v="1"/>
    <x v="3"/>
    <x v="0"/>
    <x v="0"/>
    <x v="1"/>
    <x v="3"/>
    <x v="1"/>
    <x v="3"/>
    <x v="4"/>
  </r>
  <r>
    <x v="66"/>
    <x v="0"/>
    <x v="0"/>
    <x v="18"/>
    <x v="0"/>
    <x v="8"/>
    <x v="17"/>
    <x v="0"/>
    <x v="5"/>
    <x v="3"/>
    <x v="6"/>
    <x v="0"/>
    <x v="0"/>
    <x v="8"/>
    <x v="5"/>
    <x v="3"/>
    <x v="6"/>
    <x v="8"/>
  </r>
  <r>
    <x v="67"/>
    <x v="1"/>
    <x v="2"/>
    <x v="12"/>
    <x v="25"/>
    <x v="0"/>
    <x v="24"/>
    <x v="0"/>
    <x v="1"/>
    <x v="3"/>
    <x v="4"/>
    <x v="0"/>
    <x v="0"/>
    <x v="12"/>
    <x v="1"/>
    <x v="3"/>
    <x v="4"/>
    <x v="7"/>
  </r>
  <r>
    <x v="68"/>
    <x v="0"/>
    <x v="1"/>
    <x v="10"/>
    <x v="2"/>
    <x v="2"/>
    <x v="2"/>
    <x v="1"/>
    <x v="2"/>
    <x v="2"/>
    <x v="2"/>
    <x v="1"/>
    <x v="4"/>
    <x v="2"/>
    <x v="2"/>
    <x v="2"/>
    <x v="2"/>
    <x v="2"/>
  </r>
  <r>
    <x v="69"/>
    <x v="2"/>
    <x v="2"/>
    <x v="17"/>
    <x v="21"/>
    <x v="17"/>
    <x v="27"/>
    <x v="0"/>
    <x v="3"/>
    <x v="1"/>
    <x v="3"/>
    <x v="0"/>
    <x v="0"/>
    <x v="18"/>
    <x v="3"/>
    <x v="1"/>
    <x v="3"/>
    <x v="10"/>
  </r>
  <r>
    <x v="70"/>
    <x v="0"/>
    <x v="2"/>
    <x v="21"/>
    <x v="5"/>
    <x v="28"/>
    <x v="5"/>
    <x v="0"/>
    <x v="4"/>
    <x v="0"/>
    <x v="6"/>
    <x v="0"/>
    <x v="0"/>
    <x v="11"/>
    <x v="4"/>
    <x v="0"/>
    <x v="6"/>
    <x v="4"/>
  </r>
  <r>
    <x v="71"/>
    <x v="0"/>
    <x v="0"/>
    <x v="2"/>
    <x v="26"/>
    <x v="29"/>
    <x v="30"/>
    <x v="0"/>
    <x v="1"/>
    <x v="5"/>
    <x v="4"/>
    <x v="0"/>
    <x v="0"/>
    <x v="28"/>
    <x v="1"/>
    <x v="5"/>
    <x v="4"/>
    <x v="11"/>
  </r>
  <r>
    <x v="72"/>
    <x v="3"/>
    <x v="2"/>
    <x v="16"/>
    <x v="5"/>
    <x v="24"/>
    <x v="29"/>
    <x v="0"/>
    <x v="1"/>
    <x v="5"/>
    <x v="3"/>
    <x v="0"/>
    <x v="0"/>
    <x v="22"/>
    <x v="1"/>
    <x v="5"/>
    <x v="3"/>
    <x v="5"/>
  </r>
  <r>
    <x v="73"/>
    <x v="1"/>
    <x v="1"/>
    <x v="8"/>
    <x v="2"/>
    <x v="2"/>
    <x v="2"/>
    <x v="1"/>
    <x v="2"/>
    <x v="2"/>
    <x v="2"/>
    <x v="1"/>
    <x v="5"/>
    <x v="2"/>
    <x v="2"/>
    <x v="2"/>
    <x v="2"/>
    <x v="2"/>
  </r>
  <r>
    <x v="74"/>
    <x v="0"/>
    <x v="0"/>
    <x v="28"/>
    <x v="21"/>
    <x v="21"/>
    <x v="16"/>
    <x v="0"/>
    <x v="1"/>
    <x v="3"/>
    <x v="6"/>
    <x v="0"/>
    <x v="0"/>
    <x v="25"/>
    <x v="1"/>
    <x v="3"/>
    <x v="6"/>
    <x v="6"/>
  </r>
  <r>
    <x v="75"/>
    <x v="0"/>
    <x v="2"/>
    <x v="25"/>
    <x v="13"/>
    <x v="30"/>
    <x v="27"/>
    <x v="0"/>
    <x v="1"/>
    <x v="1"/>
    <x v="1"/>
    <x v="0"/>
    <x v="0"/>
    <x v="17"/>
    <x v="1"/>
    <x v="1"/>
    <x v="1"/>
    <x v="10"/>
  </r>
  <r>
    <x v="76"/>
    <x v="3"/>
    <x v="0"/>
    <x v="24"/>
    <x v="27"/>
    <x v="14"/>
    <x v="6"/>
    <x v="0"/>
    <x v="3"/>
    <x v="3"/>
    <x v="3"/>
    <x v="0"/>
    <x v="0"/>
    <x v="3"/>
    <x v="3"/>
    <x v="3"/>
    <x v="3"/>
    <x v="1"/>
  </r>
  <r>
    <x v="77"/>
    <x v="3"/>
    <x v="1"/>
    <x v="15"/>
    <x v="2"/>
    <x v="2"/>
    <x v="2"/>
    <x v="1"/>
    <x v="2"/>
    <x v="2"/>
    <x v="2"/>
    <x v="1"/>
    <x v="1"/>
    <x v="2"/>
    <x v="2"/>
    <x v="2"/>
    <x v="2"/>
    <x v="2"/>
  </r>
  <r>
    <x v="78"/>
    <x v="1"/>
    <x v="1"/>
    <x v="4"/>
    <x v="2"/>
    <x v="2"/>
    <x v="2"/>
    <x v="1"/>
    <x v="2"/>
    <x v="2"/>
    <x v="2"/>
    <x v="1"/>
    <x v="4"/>
    <x v="2"/>
    <x v="2"/>
    <x v="2"/>
    <x v="2"/>
    <x v="2"/>
  </r>
  <r>
    <x v="79"/>
    <x v="3"/>
    <x v="0"/>
    <x v="6"/>
    <x v="3"/>
    <x v="6"/>
    <x v="1"/>
    <x v="0"/>
    <x v="4"/>
    <x v="5"/>
    <x v="5"/>
    <x v="1"/>
    <x v="3"/>
    <x v="2"/>
    <x v="4"/>
    <x v="5"/>
    <x v="5"/>
    <x v="2"/>
  </r>
  <r>
    <x v="80"/>
    <x v="2"/>
    <x v="1"/>
    <x v="21"/>
    <x v="2"/>
    <x v="2"/>
    <x v="2"/>
    <x v="1"/>
    <x v="2"/>
    <x v="2"/>
    <x v="2"/>
    <x v="1"/>
    <x v="1"/>
    <x v="2"/>
    <x v="2"/>
    <x v="2"/>
    <x v="2"/>
    <x v="2"/>
  </r>
  <r>
    <x v="81"/>
    <x v="3"/>
    <x v="1"/>
    <x v="22"/>
    <x v="2"/>
    <x v="2"/>
    <x v="2"/>
    <x v="1"/>
    <x v="2"/>
    <x v="2"/>
    <x v="2"/>
    <x v="1"/>
    <x v="1"/>
    <x v="2"/>
    <x v="2"/>
    <x v="2"/>
    <x v="2"/>
    <x v="2"/>
  </r>
  <r>
    <x v="82"/>
    <x v="2"/>
    <x v="0"/>
    <x v="24"/>
    <x v="21"/>
    <x v="21"/>
    <x v="27"/>
    <x v="0"/>
    <x v="4"/>
    <x v="3"/>
    <x v="0"/>
    <x v="0"/>
    <x v="0"/>
    <x v="29"/>
    <x v="4"/>
    <x v="3"/>
    <x v="0"/>
    <x v="7"/>
  </r>
  <r>
    <x v="83"/>
    <x v="1"/>
    <x v="2"/>
    <x v="12"/>
    <x v="28"/>
    <x v="31"/>
    <x v="18"/>
    <x v="0"/>
    <x v="5"/>
    <x v="3"/>
    <x v="0"/>
    <x v="0"/>
    <x v="0"/>
    <x v="24"/>
    <x v="5"/>
    <x v="3"/>
    <x v="0"/>
    <x v="7"/>
  </r>
  <r>
    <x v="84"/>
    <x v="1"/>
    <x v="0"/>
    <x v="6"/>
    <x v="5"/>
    <x v="24"/>
    <x v="5"/>
    <x v="0"/>
    <x v="0"/>
    <x v="5"/>
    <x v="5"/>
    <x v="0"/>
    <x v="0"/>
    <x v="23"/>
    <x v="0"/>
    <x v="5"/>
    <x v="5"/>
    <x v="8"/>
  </r>
  <r>
    <x v="85"/>
    <x v="1"/>
    <x v="1"/>
    <x v="0"/>
    <x v="2"/>
    <x v="2"/>
    <x v="2"/>
    <x v="1"/>
    <x v="2"/>
    <x v="2"/>
    <x v="2"/>
    <x v="1"/>
    <x v="2"/>
    <x v="2"/>
    <x v="2"/>
    <x v="2"/>
    <x v="2"/>
    <x v="2"/>
  </r>
  <r>
    <x v="86"/>
    <x v="1"/>
    <x v="2"/>
    <x v="12"/>
    <x v="9"/>
    <x v="8"/>
    <x v="24"/>
    <x v="0"/>
    <x v="3"/>
    <x v="0"/>
    <x v="3"/>
    <x v="0"/>
    <x v="0"/>
    <x v="24"/>
    <x v="3"/>
    <x v="0"/>
    <x v="3"/>
    <x v="11"/>
  </r>
  <r>
    <x v="87"/>
    <x v="1"/>
    <x v="1"/>
    <x v="6"/>
    <x v="2"/>
    <x v="2"/>
    <x v="2"/>
    <x v="1"/>
    <x v="2"/>
    <x v="2"/>
    <x v="2"/>
    <x v="1"/>
    <x v="3"/>
    <x v="2"/>
    <x v="2"/>
    <x v="2"/>
    <x v="2"/>
    <x v="2"/>
  </r>
  <r>
    <x v="88"/>
    <x v="2"/>
    <x v="2"/>
    <x v="11"/>
    <x v="7"/>
    <x v="6"/>
    <x v="1"/>
    <x v="0"/>
    <x v="4"/>
    <x v="3"/>
    <x v="5"/>
    <x v="0"/>
    <x v="0"/>
    <x v="30"/>
    <x v="4"/>
    <x v="3"/>
    <x v="5"/>
    <x v="7"/>
  </r>
  <r>
    <x v="89"/>
    <x v="2"/>
    <x v="2"/>
    <x v="19"/>
    <x v="12"/>
    <x v="31"/>
    <x v="18"/>
    <x v="0"/>
    <x v="3"/>
    <x v="0"/>
    <x v="0"/>
    <x v="0"/>
    <x v="0"/>
    <x v="1"/>
    <x v="3"/>
    <x v="0"/>
    <x v="0"/>
    <x v="1"/>
  </r>
  <r>
    <x v="90"/>
    <x v="1"/>
    <x v="0"/>
    <x v="2"/>
    <x v="29"/>
    <x v="32"/>
    <x v="31"/>
    <x v="0"/>
    <x v="3"/>
    <x v="3"/>
    <x v="0"/>
    <x v="0"/>
    <x v="0"/>
    <x v="17"/>
    <x v="3"/>
    <x v="3"/>
    <x v="0"/>
    <x v="6"/>
  </r>
  <r>
    <x v="91"/>
    <x v="3"/>
    <x v="2"/>
    <x v="25"/>
    <x v="30"/>
    <x v="21"/>
    <x v="14"/>
    <x v="0"/>
    <x v="5"/>
    <x v="1"/>
    <x v="3"/>
    <x v="0"/>
    <x v="0"/>
    <x v="19"/>
    <x v="5"/>
    <x v="1"/>
    <x v="3"/>
    <x v="3"/>
  </r>
  <r>
    <x v="92"/>
    <x v="0"/>
    <x v="1"/>
    <x v="29"/>
    <x v="2"/>
    <x v="2"/>
    <x v="2"/>
    <x v="1"/>
    <x v="2"/>
    <x v="2"/>
    <x v="2"/>
    <x v="1"/>
    <x v="5"/>
    <x v="2"/>
    <x v="2"/>
    <x v="2"/>
    <x v="2"/>
    <x v="2"/>
  </r>
  <r>
    <x v="93"/>
    <x v="1"/>
    <x v="1"/>
    <x v="24"/>
    <x v="2"/>
    <x v="2"/>
    <x v="2"/>
    <x v="1"/>
    <x v="2"/>
    <x v="2"/>
    <x v="2"/>
    <x v="1"/>
    <x v="4"/>
    <x v="2"/>
    <x v="2"/>
    <x v="2"/>
    <x v="2"/>
    <x v="2"/>
  </r>
  <r>
    <x v="94"/>
    <x v="3"/>
    <x v="1"/>
    <x v="27"/>
    <x v="2"/>
    <x v="2"/>
    <x v="2"/>
    <x v="1"/>
    <x v="2"/>
    <x v="2"/>
    <x v="2"/>
    <x v="1"/>
    <x v="2"/>
    <x v="2"/>
    <x v="2"/>
    <x v="2"/>
    <x v="2"/>
    <x v="2"/>
  </r>
  <r>
    <x v="95"/>
    <x v="0"/>
    <x v="0"/>
    <x v="12"/>
    <x v="0"/>
    <x v="8"/>
    <x v="26"/>
    <x v="0"/>
    <x v="4"/>
    <x v="3"/>
    <x v="0"/>
    <x v="0"/>
    <x v="0"/>
    <x v="20"/>
    <x v="4"/>
    <x v="3"/>
    <x v="0"/>
    <x v="3"/>
  </r>
  <r>
    <x v="96"/>
    <x v="1"/>
    <x v="2"/>
    <x v="24"/>
    <x v="20"/>
    <x v="17"/>
    <x v="32"/>
    <x v="0"/>
    <x v="0"/>
    <x v="3"/>
    <x v="1"/>
    <x v="1"/>
    <x v="4"/>
    <x v="2"/>
    <x v="0"/>
    <x v="3"/>
    <x v="1"/>
    <x v="2"/>
  </r>
  <r>
    <x v="97"/>
    <x v="1"/>
    <x v="0"/>
    <x v="29"/>
    <x v="1"/>
    <x v="17"/>
    <x v="12"/>
    <x v="0"/>
    <x v="0"/>
    <x v="4"/>
    <x v="5"/>
    <x v="0"/>
    <x v="0"/>
    <x v="20"/>
    <x v="0"/>
    <x v="4"/>
    <x v="5"/>
    <x v="5"/>
  </r>
  <r>
    <x v="98"/>
    <x v="2"/>
    <x v="0"/>
    <x v="26"/>
    <x v="25"/>
    <x v="31"/>
    <x v="4"/>
    <x v="0"/>
    <x v="0"/>
    <x v="1"/>
    <x v="1"/>
    <x v="0"/>
    <x v="0"/>
    <x v="31"/>
    <x v="0"/>
    <x v="1"/>
    <x v="1"/>
    <x v="6"/>
  </r>
  <r>
    <x v="99"/>
    <x v="0"/>
    <x v="0"/>
    <x v="23"/>
    <x v="31"/>
    <x v="18"/>
    <x v="0"/>
    <x v="0"/>
    <x v="1"/>
    <x v="1"/>
    <x v="1"/>
    <x v="0"/>
    <x v="0"/>
    <x v="8"/>
    <x v="1"/>
    <x v="1"/>
    <x v="1"/>
    <x v="4"/>
  </r>
  <r>
    <x v="100"/>
    <x v="0"/>
    <x v="2"/>
    <x v="9"/>
    <x v="1"/>
    <x v="11"/>
    <x v="12"/>
    <x v="0"/>
    <x v="4"/>
    <x v="0"/>
    <x v="3"/>
    <x v="0"/>
    <x v="0"/>
    <x v="15"/>
    <x v="4"/>
    <x v="0"/>
    <x v="3"/>
    <x v="10"/>
  </r>
  <r>
    <x v="101"/>
    <x v="3"/>
    <x v="0"/>
    <x v="6"/>
    <x v="22"/>
    <x v="16"/>
    <x v="21"/>
    <x v="0"/>
    <x v="1"/>
    <x v="0"/>
    <x v="5"/>
    <x v="0"/>
    <x v="0"/>
    <x v="20"/>
    <x v="1"/>
    <x v="0"/>
    <x v="5"/>
    <x v="10"/>
  </r>
  <r>
    <x v="102"/>
    <x v="2"/>
    <x v="0"/>
    <x v="21"/>
    <x v="16"/>
    <x v="28"/>
    <x v="33"/>
    <x v="0"/>
    <x v="1"/>
    <x v="3"/>
    <x v="3"/>
    <x v="0"/>
    <x v="0"/>
    <x v="14"/>
    <x v="1"/>
    <x v="3"/>
    <x v="3"/>
    <x v="6"/>
  </r>
  <r>
    <x v="103"/>
    <x v="2"/>
    <x v="1"/>
    <x v="16"/>
    <x v="2"/>
    <x v="2"/>
    <x v="2"/>
    <x v="1"/>
    <x v="2"/>
    <x v="2"/>
    <x v="2"/>
    <x v="1"/>
    <x v="5"/>
    <x v="2"/>
    <x v="2"/>
    <x v="2"/>
    <x v="2"/>
    <x v="2"/>
  </r>
  <r>
    <x v="104"/>
    <x v="2"/>
    <x v="1"/>
    <x v="9"/>
    <x v="2"/>
    <x v="2"/>
    <x v="2"/>
    <x v="1"/>
    <x v="2"/>
    <x v="2"/>
    <x v="2"/>
    <x v="1"/>
    <x v="5"/>
    <x v="2"/>
    <x v="2"/>
    <x v="2"/>
    <x v="2"/>
    <x v="2"/>
  </r>
  <r>
    <x v="105"/>
    <x v="2"/>
    <x v="0"/>
    <x v="4"/>
    <x v="7"/>
    <x v="1"/>
    <x v="3"/>
    <x v="0"/>
    <x v="1"/>
    <x v="5"/>
    <x v="0"/>
    <x v="0"/>
    <x v="0"/>
    <x v="19"/>
    <x v="1"/>
    <x v="5"/>
    <x v="0"/>
    <x v="0"/>
  </r>
  <r>
    <x v="106"/>
    <x v="0"/>
    <x v="0"/>
    <x v="15"/>
    <x v="23"/>
    <x v="12"/>
    <x v="18"/>
    <x v="0"/>
    <x v="5"/>
    <x v="3"/>
    <x v="6"/>
    <x v="1"/>
    <x v="1"/>
    <x v="2"/>
    <x v="5"/>
    <x v="3"/>
    <x v="6"/>
    <x v="2"/>
  </r>
  <r>
    <x v="107"/>
    <x v="0"/>
    <x v="0"/>
    <x v="21"/>
    <x v="18"/>
    <x v="28"/>
    <x v="33"/>
    <x v="0"/>
    <x v="5"/>
    <x v="4"/>
    <x v="3"/>
    <x v="0"/>
    <x v="0"/>
    <x v="11"/>
    <x v="5"/>
    <x v="4"/>
    <x v="3"/>
    <x v="4"/>
  </r>
  <r>
    <x v="108"/>
    <x v="1"/>
    <x v="2"/>
    <x v="1"/>
    <x v="20"/>
    <x v="17"/>
    <x v="27"/>
    <x v="0"/>
    <x v="3"/>
    <x v="3"/>
    <x v="3"/>
    <x v="0"/>
    <x v="0"/>
    <x v="14"/>
    <x v="3"/>
    <x v="3"/>
    <x v="3"/>
    <x v="8"/>
  </r>
  <r>
    <x v="109"/>
    <x v="1"/>
    <x v="1"/>
    <x v="9"/>
    <x v="2"/>
    <x v="2"/>
    <x v="2"/>
    <x v="1"/>
    <x v="2"/>
    <x v="2"/>
    <x v="2"/>
    <x v="1"/>
    <x v="5"/>
    <x v="2"/>
    <x v="2"/>
    <x v="2"/>
    <x v="2"/>
    <x v="2"/>
  </r>
  <r>
    <x v="110"/>
    <x v="2"/>
    <x v="1"/>
    <x v="12"/>
    <x v="2"/>
    <x v="2"/>
    <x v="2"/>
    <x v="1"/>
    <x v="2"/>
    <x v="2"/>
    <x v="2"/>
    <x v="1"/>
    <x v="4"/>
    <x v="2"/>
    <x v="2"/>
    <x v="2"/>
    <x v="2"/>
    <x v="2"/>
  </r>
  <r>
    <x v="111"/>
    <x v="2"/>
    <x v="0"/>
    <x v="11"/>
    <x v="24"/>
    <x v="25"/>
    <x v="12"/>
    <x v="0"/>
    <x v="3"/>
    <x v="4"/>
    <x v="6"/>
    <x v="0"/>
    <x v="0"/>
    <x v="15"/>
    <x v="3"/>
    <x v="4"/>
    <x v="6"/>
    <x v="0"/>
  </r>
  <r>
    <x v="112"/>
    <x v="2"/>
    <x v="0"/>
    <x v="17"/>
    <x v="17"/>
    <x v="23"/>
    <x v="19"/>
    <x v="0"/>
    <x v="4"/>
    <x v="3"/>
    <x v="0"/>
    <x v="1"/>
    <x v="3"/>
    <x v="2"/>
    <x v="4"/>
    <x v="3"/>
    <x v="0"/>
    <x v="2"/>
  </r>
  <r>
    <x v="113"/>
    <x v="1"/>
    <x v="2"/>
    <x v="29"/>
    <x v="20"/>
    <x v="20"/>
    <x v="32"/>
    <x v="0"/>
    <x v="4"/>
    <x v="0"/>
    <x v="5"/>
    <x v="0"/>
    <x v="0"/>
    <x v="31"/>
    <x v="4"/>
    <x v="0"/>
    <x v="5"/>
    <x v="5"/>
  </r>
  <r>
    <x v="114"/>
    <x v="3"/>
    <x v="0"/>
    <x v="17"/>
    <x v="1"/>
    <x v="25"/>
    <x v="19"/>
    <x v="0"/>
    <x v="5"/>
    <x v="3"/>
    <x v="4"/>
    <x v="0"/>
    <x v="0"/>
    <x v="32"/>
    <x v="5"/>
    <x v="3"/>
    <x v="4"/>
    <x v="4"/>
  </r>
  <r>
    <x v="115"/>
    <x v="3"/>
    <x v="2"/>
    <x v="24"/>
    <x v="27"/>
    <x v="21"/>
    <x v="16"/>
    <x v="0"/>
    <x v="3"/>
    <x v="0"/>
    <x v="6"/>
    <x v="0"/>
    <x v="0"/>
    <x v="5"/>
    <x v="3"/>
    <x v="0"/>
    <x v="6"/>
    <x v="1"/>
  </r>
  <r>
    <x v="116"/>
    <x v="1"/>
    <x v="1"/>
    <x v="7"/>
    <x v="2"/>
    <x v="2"/>
    <x v="2"/>
    <x v="1"/>
    <x v="2"/>
    <x v="2"/>
    <x v="2"/>
    <x v="1"/>
    <x v="3"/>
    <x v="2"/>
    <x v="2"/>
    <x v="2"/>
    <x v="2"/>
    <x v="2"/>
  </r>
  <r>
    <x v="117"/>
    <x v="1"/>
    <x v="2"/>
    <x v="15"/>
    <x v="0"/>
    <x v="18"/>
    <x v="21"/>
    <x v="0"/>
    <x v="3"/>
    <x v="5"/>
    <x v="4"/>
    <x v="0"/>
    <x v="0"/>
    <x v="32"/>
    <x v="3"/>
    <x v="5"/>
    <x v="4"/>
    <x v="10"/>
  </r>
  <r>
    <x v="118"/>
    <x v="1"/>
    <x v="0"/>
    <x v="28"/>
    <x v="21"/>
    <x v="14"/>
    <x v="16"/>
    <x v="0"/>
    <x v="1"/>
    <x v="5"/>
    <x v="0"/>
    <x v="0"/>
    <x v="0"/>
    <x v="22"/>
    <x v="1"/>
    <x v="5"/>
    <x v="0"/>
    <x v="7"/>
  </r>
  <r>
    <x v="119"/>
    <x v="1"/>
    <x v="1"/>
    <x v="1"/>
    <x v="2"/>
    <x v="2"/>
    <x v="2"/>
    <x v="1"/>
    <x v="2"/>
    <x v="2"/>
    <x v="2"/>
    <x v="1"/>
    <x v="1"/>
    <x v="2"/>
    <x v="2"/>
    <x v="2"/>
    <x v="2"/>
    <x v="2"/>
  </r>
  <r>
    <x v="120"/>
    <x v="1"/>
    <x v="0"/>
    <x v="7"/>
    <x v="30"/>
    <x v="21"/>
    <x v="14"/>
    <x v="0"/>
    <x v="0"/>
    <x v="1"/>
    <x v="3"/>
    <x v="0"/>
    <x v="0"/>
    <x v="33"/>
    <x v="0"/>
    <x v="1"/>
    <x v="3"/>
    <x v="10"/>
  </r>
  <r>
    <x v="121"/>
    <x v="1"/>
    <x v="2"/>
    <x v="15"/>
    <x v="28"/>
    <x v="31"/>
    <x v="0"/>
    <x v="0"/>
    <x v="0"/>
    <x v="3"/>
    <x v="3"/>
    <x v="0"/>
    <x v="0"/>
    <x v="24"/>
    <x v="0"/>
    <x v="3"/>
    <x v="3"/>
    <x v="0"/>
  </r>
  <r>
    <x v="122"/>
    <x v="2"/>
    <x v="2"/>
    <x v="21"/>
    <x v="31"/>
    <x v="18"/>
    <x v="17"/>
    <x v="0"/>
    <x v="0"/>
    <x v="1"/>
    <x v="0"/>
    <x v="0"/>
    <x v="0"/>
    <x v="19"/>
    <x v="0"/>
    <x v="1"/>
    <x v="0"/>
    <x v="5"/>
  </r>
  <r>
    <x v="123"/>
    <x v="2"/>
    <x v="2"/>
    <x v="8"/>
    <x v="32"/>
    <x v="33"/>
    <x v="34"/>
    <x v="0"/>
    <x v="5"/>
    <x v="3"/>
    <x v="5"/>
    <x v="0"/>
    <x v="0"/>
    <x v="16"/>
    <x v="5"/>
    <x v="3"/>
    <x v="5"/>
    <x v="7"/>
  </r>
  <r>
    <x v="124"/>
    <x v="2"/>
    <x v="0"/>
    <x v="22"/>
    <x v="23"/>
    <x v="31"/>
    <x v="13"/>
    <x v="0"/>
    <x v="0"/>
    <x v="5"/>
    <x v="5"/>
    <x v="0"/>
    <x v="0"/>
    <x v="30"/>
    <x v="0"/>
    <x v="5"/>
    <x v="5"/>
    <x v="8"/>
  </r>
  <r>
    <x v="125"/>
    <x v="2"/>
    <x v="2"/>
    <x v="12"/>
    <x v="12"/>
    <x v="8"/>
    <x v="35"/>
    <x v="0"/>
    <x v="0"/>
    <x v="4"/>
    <x v="1"/>
    <x v="0"/>
    <x v="0"/>
    <x v="14"/>
    <x v="0"/>
    <x v="4"/>
    <x v="1"/>
    <x v="6"/>
  </r>
  <r>
    <x v="126"/>
    <x v="1"/>
    <x v="0"/>
    <x v="14"/>
    <x v="27"/>
    <x v="23"/>
    <x v="19"/>
    <x v="0"/>
    <x v="1"/>
    <x v="1"/>
    <x v="0"/>
    <x v="0"/>
    <x v="0"/>
    <x v="29"/>
    <x v="1"/>
    <x v="1"/>
    <x v="0"/>
    <x v="8"/>
  </r>
  <r>
    <x v="127"/>
    <x v="3"/>
    <x v="1"/>
    <x v="28"/>
    <x v="2"/>
    <x v="2"/>
    <x v="2"/>
    <x v="1"/>
    <x v="2"/>
    <x v="2"/>
    <x v="2"/>
    <x v="1"/>
    <x v="4"/>
    <x v="2"/>
    <x v="2"/>
    <x v="2"/>
    <x v="2"/>
    <x v="2"/>
  </r>
  <r>
    <x v="128"/>
    <x v="0"/>
    <x v="2"/>
    <x v="28"/>
    <x v="27"/>
    <x v="23"/>
    <x v="19"/>
    <x v="0"/>
    <x v="4"/>
    <x v="1"/>
    <x v="0"/>
    <x v="0"/>
    <x v="0"/>
    <x v="34"/>
    <x v="4"/>
    <x v="1"/>
    <x v="0"/>
    <x v="8"/>
  </r>
  <r>
    <x v="129"/>
    <x v="1"/>
    <x v="1"/>
    <x v="15"/>
    <x v="2"/>
    <x v="2"/>
    <x v="2"/>
    <x v="1"/>
    <x v="2"/>
    <x v="2"/>
    <x v="2"/>
    <x v="1"/>
    <x v="4"/>
    <x v="2"/>
    <x v="2"/>
    <x v="2"/>
    <x v="2"/>
    <x v="2"/>
  </r>
  <r>
    <x v="130"/>
    <x v="0"/>
    <x v="1"/>
    <x v="6"/>
    <x v="2"/>
    <x v="2"/>
    <x v="2"/>
    <x v="1"/>
    <x v="2"/>
    <x v="2"/>
    <x v="2"/>
    <x v="1"/>
    <x v="5"/>
    <x v="2"/>
    <x v="2"/>
    <x v="2"/>
    <x v="2"/>
    <x v="2"/>
  </r>
  <r>
    <x v="131"/>
    <x v="3"/>
    <x v="2"/>
    <x v="17"/>
    <x v="1"/>
    <x v="20"/>
    <x v="15"/>
    <x v="0"/>
    <x v="5"/>
    <x v="5"/>
    <x v="1"/>
    <x v="0"/>
    <x v="0"/>
    <x v="25"/>
    <x v="5"/>
    <x v="5"/>
    <x v="1"/>
    <x v="8"/>
  </r>
  <r>
    <x v="132"/>
    <x v="2"/>
    <x v="1"/>
    <x v="15"/>
    <x v="2"/>
    <x v="2"/>
    <x v="2"/>
    <x v="1"/>
    <x v="2"/>
    <x v="2"/>
    <x v="2"/>
    <x v="1"/>
    <x v="4"/>
    <x v="2"/>
    <x v="2"/>
    <x v="2"/>
    <x v="2"/>
    <x v="2"/>
  </r>
  <r>
    <x v="133"/>
    <x v="3"/>
    <x v="0"/>
    <x v="23"/>
    <x v="5"/>
    <x v="24"/>
    <x v="33"/>
    <x v="0"/>
    <x v="3"/>
    <x v="5"/>
    <x v="0"/>
    <x v="0"/>
    <x v="0"/>
    <x v="24"/>
    <x v="3"/>
    <x v="5"/>
    <x v="0"/>
    <x v="0"/>
  </r>
  <r>
    <x v="134"/>
    <x v="1"/>
    <x v="1"/>
    <x v="22"/>
    <x v="2"/>
    <x v="2"/>
    <x v="2"/>
    <x v="1"/>
    <x v="2"/>
    <x v="2"/>
    <x v="2"/>
    <x v="1"/>
    <x v="2"/>
    <x v="2"/>
    <x v="2"/>
    <x v="2"/>
    <x v="2"/>
    <x v="2"/>
  </r>
  <r>
    <x v="135"/>
    <x v="2"/>
    <x v="0"/>
    <x v="16"/>
    <x v="5"/>
    <x v="3"/>
    <x v="1"/>
    <x v="0"/>
    <x v="1"/>
    <x v="4"/>
    <x v="0"/>
    <x v="0"/>
    <x v="0"/>
    <x v="10"/>
    <x v="1"/>
    <x v="4"/>
    <x v="0"/>
    <x v="9"/>
  </r>
  <r>
    <x v="136"/>
    <x v="1"/>
    <x v="0"/>
    <x v="18"/>
    <x v="9"/>
    <x v="0"/>
    <x v="18"/>
    <x v="0"/>
    <x v="0"/>
    <x v="1"/>
    <x v="1"/>
    <x v="0"/>
    <x v="0"/>
    <x v="24"/>
    <x v="0"/>
    <x v="1"/>
    <x v="1"/>
    <x v="6"/>
  </r>
  <r>
    <x v="137"/>
    <x v="2"/>
    <x v="0"/>
    <x v="29"/>
    <x v="17"/>
    <x v="21"/>
    <x v="27"/>
    <x v="0"/>
    <x v="3"/>
    <x v="5"/>
    <x v="0"/>
    <x v="1"/>
    <x v="5"/>
    <x v="2"/>
    <x v="3"/>
    <x v="5"/>
    <x v="0"/>
    <x v="2"/>
  </r>
  <r>
    <x v="138"/>
    <x v="0"/>
    <x v="1"/>
    <x v="7"/>
    <x v="2"/>
    <x v="2"/>
    <x v="2"/>
    <x v="1"/>
    <x v="2"/>
    <x v="2"/>
    <x v="2"/>
    <x v="1"/>
    <x v="2"/>
    <x v="2"/>
    <x v="2"/>
    <x v="2"/>
    <x v="2"/>
    <x v="2"/>
  </r>
  <r>
    <x v="139"/>
    <x v="0"/>
    <x v="0"/>
    <x v="5"/>
    <x v="11"/>
    <x v="12"/>
    <x v="13"/>
    <x v="0"/>
    <x v="1"/>
    <x v="5"/>
    <x v="0"/>
    <x v="0"/>
    <x v="0"/>
    <x v="21"/>
    <x v="1"/>
    <x v="5"/>
    <x v="0"/>
    <x v="7"/>
  </r>
  <r>
    <x v="140"/>
    <x v="0"/>
    <x v="0"/>
    <x v="28"/>
    <x v="20"/>
    <x v="21"/>
    <x v="14"/>
    <x v="0"/>
    <x v="5"/>
    <x v="4"/>
    <x v="3"/>
    <x v="0"/>
    <x v="0"/>
    <x v="5"/>
    <x v="5"/>
    <x v="4"/>
    <x v="3"/>
    <x v="6"/>
  </r>
  <r>
    <x v="141"/>
    <x v="3"/>
    <x v="1"/>
    <x v="29"/>
    <x v="2"/>
    <x v="2"/>
    <x v="2"/>
    <x v="1"/>
    <x v="2"/>
    <x v="2"/>
    <x v="2"/>
    <x v="1"/>
    <x v="1"/>
    <x v="2"/>
    <x v="2"/>
    <x v="2"/>
    <x v="2"/>
    <x v="2"/>
  </r>
  <r>
    <x v="142"/>
    <x v="1"/>
    <x v="2"/>
    <x v="24"/>
    <x v="20"/>
    <x v="21"/>
    <x v="6"/>
    <x v="0"/>
    <x v="0"/>
    <x v="4"/>
    <x v="4"/>
    <x v="0"/>
    <x v="0"/>
    <x v="18"/>
    <x v="0"/>
    <x v="4"/>
    <x v="4"/>
    <x v="8"/>
  </r>
  <r>
    <x v="143"/>
    <x v="3"/>
    <x v="2"/>
    <x v="9"/>
    <x v="7"/>
    <x v="3"/>
    <x v="33"/>
    <x v="0"/>
    <x v="5"/>
    <x v="0"/>
    <x v="5"/>
    <x v="0"/>
    <x v="0"/>
    <x v="14"/>
    <x v="5"/>
    <x v="0"/>
    <x v="5"/>
    <x v="10"/>
  </r>
  <r>
    <x v="144"/>
    <x v="0"/>
    <x v="2"/>
    <x v="14"/>
    <x v="27"/>
    <x v="14"/>
    <x v="25"/>
    <x v="0"/>
    <x v="1"/>
    <x v="3"/>
    <x v="4"/>
    <x v="0"/>
    <x v="0"/>
    <x v="5"/>
    <x v="1"/>
    <x v="3"/>
    <x v="4"/>
    <x v="5"/>
  </r>
  <r>
    <x v="145"/>
    <x v="1"/>
    <x v="0"/>
    <x v="29"/>
    <x v="17"/>
    <x v="17"/>
    <x v="27"/>
    <x v="0"/>
    <x v="3"/>
    <x v="0"/>
    <x v="3"/>
    <x v="0"/>
    <x v="0"/>
    <x v="17"/>
    <x v="3"/>
    <x v="0"/>
    <x v="3"/>
    <x v="10"/>
  </r>
  <r>
    <x v="146"/>
    <x v="0"/>
    <x v="2"/>
    <x v="2"/>
    <x v="33"/>
    <x v="34"/>
    <x v="30"/>
    <x v="0"/>
    <x v="4"/>
    <x v="4"/>
    <x v="6"/>
    <x v="0"/>
    <x v="0"/>
    <x v="35"/>
    <x v="4"/>
    <x v="4"/>
    <x v="6"/>
    <x v="5"/>
  </r>
  <r>
    <x v="147"/>
    <x v="3"/>
    <x v="1"/>
    <x v="12"/>
    <x v="2"/>
    <x v="2"/>
    <x v="2"/>
    <x v="1"/>
    <x v="2"/>
    <x v="2"/>
    <x v="2"/>
    <x v="1"/>
    <x v="3"/>
    <x v="2"/>
    <x v="2"/>
    <x v="2"/>
    <x v="2"/>
    <x v="2"/>
  </r>
  <r>
    <x v="148"/>
    <x v="3"/>
    <x v="2"/>
    <x v="21"/>
    <x v="31"/>
    <x v="28"/>
    <x v="1"/>
    <x v="0"/>
    <x v="0"/>
    <x v="5"/>
    <x v="4"/>
    <x v="0"/>
    <x v="0"/>
    <x v="24"/>
    <x v="0"/>
    <x v="5"/>
    <x v="4"/>
    <x v="7"/>
  </r>
  <r>
    <x v="149"/>
    <x v="3"/>
    <x v="0"/>
    <x v="13"/>
    <x v="21"/>
    <x v="30"/>
    <x v="6"/>
    <x v="0"/>
    <x v="5"/>
    <x v="4"/>
    <x v="6"/>
    <x v="0"/>
    <x v="0"/>
    <x v="3"/>
    <x v="5"/>
    <x v="4"/>
    <x v="6"/>
    <x v="8"/>
  </r>
  <r>
    <x v="150"/>
    <x v="0"/>
    <x v="2"/>
    <x v="17"/>
    <x v="21"/>
    <x v="17"/>
    <x v="27"/>
    <x v="0"/>
    <x v="3"/>
    <x v="1"/>
    <x v="3"/>
    <x v="0"/>
    <x v="0"/>
    <x v="14"/>
    <x v="3"/>
    <x v="1"/>
    <x v="3"/>
    <x v="0"/>
  </r>
  <r>
    <x v="151"/>
    <x v="1"/>
    <x v="1"/>
    <x v="30"/>
    <x v="2"/>
    <x v="2"/>
    <x v="2"/>
    <x v="1"/>
    <x v="2"/>
    <x v="2"/>
    <x v="2"/>
    <x v="1"/>
    <x v="1"/>
    <x v="2"/>
    <x v="2"/>
    <x v="2"/>
    <x v="2"/>
    <x v="2"/>
  </r>
  <r>
    <x v="152"/>
    <x v="1"/>
    <x v="1"/>
    <x v="30"/>
    <x v="2"/>
    <x v="2"/>
    <x v="2"/>
    <x v="1"/>
    <x v="2"/>
    <x v="2"/>
    <x v="2"/>
    <x v="1"/>
    <x v="3"/>
    <x v="2"/>
    <x v="2"/>
    <x v="2"/>
    <x v="2"/>
    <x v="2"/>
  </r>
  <r>
    <x v="153"/>
    <x v="0"/>
    <x v="0"/>
    <x v="21"/>
    <x v="22"/>
    <x v="3"/>
    <x v="33"/>
    <x v="0"/>
    <x v="3"/>
    <x v="5"/>
    <x v="5"/>
    <x v="0"/>
    <x v="0"/>
    <x v="19"/>
    <x v="3"/>
    <x v="5"/>
    <x v="5"/>
    <x v="11"/>
  </r>
  <r>
    <x v="154"/>
    <x v="1"/>
    <x v="1"/>
    <x v="29"/>
    <x v="2"/>
    <x v="2"/>
    <x v="2"/>
    <x v="1"/>
    <x v="2"/>
    <x v="2"/>
    <x v="2"/>
    <x v="1"/>
    <x v="1"/>
    <x v="2"/>
    <x v="2"/>
    <x v="2"/>
    <x v="2"/>
    <x v="2"/>
  </r>
  <r>
    <x v="155"/>
    <x v="0"/>
    <x v="2"/>
    <x v="12"/>
    <x v="0"/>
    <x v="0"/>
    <x v="26"/>
    <x v="0"/>
    <x v="4"/>
    <x v="0"/>
    <x v="6"/>
    <x v="0"/>
    <x v="0"/>
    <x v="14"/>
    <x v="4"/>
    <x v="0"/>
    <x v="6"/>
    <x v="8"/>
  </r>
  <r>
    <x v="156"/>
    <x v="1"/>
    <x v="1"/>
    <x v="8"/>
    <x v="2"/>
    <x v="2"/>
    <x v="2"/>
    <x v="1"/>
    <x v="2"/>
    <x v="2"/>
    <x v="2"/>
    <x v="1"/>
    <x v="4"/>
    <x v="2"/>
    <x v="2"/>
    <x v="2"/>
    <x v="2"/>
    <x v="2"/>
  </r>
  <r>
    <x v="157"/>
    <x v="2"/>
    <x v="2"/>
    <x v="13"/>
    <x v="30"/>
    <x v="14"/>
    <x v="6"/>
    <x v="0"/>
    <x v="1"/>
    <x v="0"/>
    <x v="3"/>
    <x v="0"/>
    <x v="0"/>
    <x v="32"/>
    <x v="1"/>
    <x v="0"/>
    <x v="3"/>
    <x v="1"/>
  </r>
  <r>
    <x v="158"/>
    <x v="2"/>
    <x v="1"/>
    <x v="0"/>
    <x v="2"/>
    <x v="2"/>
    <x v="2"/>
    <x v="1"/>
    <x v="2"/>
    <x v="2"/>
    <x v="2"/>
    <x v="1"/>
    <x v="2"/>
    <x v="2"/>
    <x v="2"/>
    <x v="2"/>
    <x v="2"/>
    <x v="2"/>
  </r>
  <r>
    <x v="159"/>
    <x v="3"/>
    <x v="2"/>
    <x v="3"/>
    <x v="11"/>
    <x v="22"/>
    <x v="11"/>
    <x v="0"/>
    <x v="4"/>
    <x v="0"/>
    <x v="0"/>
    <x v="0"/>
    <x v="0"/>
    <x v="24"/>
    <x v="4"/>
    <x v="0"/>
    <x v="0"/>
    <x v="7"/>
  </r>
  <r>
    <x v="160"/>
    <x v="2"/>
    <x v="0"/>
    <x v="22"/>
    <x v="12"/>
    <x v="0"/>
    <x v="35"/>
    <x v="0"/>
    <x v="4"/>
    <x v="5"/>
    <x v="5"/>
    <x v="0"/>
    <x v="0"/>
    <x v="20"/>
    <x v="4"/>
    <x v="5"/>
    <x v="5"/>
    <x v="9"/>
  </r>
  <r>
    <x v="161"/>
    <x v="2"/>
    <x v="0"/>
    <x v="6"/>
    <x v="22"/>
    <x v="24"/>
    <x v="21"/>
    <x v="0"/>
    <x v="1"/>
    <x v="3"/>
    <x v="1"/>
    <x v="0"/>
    <x v="0"/>
    <x v="14"/>
    <x v="1"/>
    <x v="3"/>
    <x v="1"/>
    <x v="0"/>
  </r>
  <r>
    <x v="162"/>
    <x v="2"/>
    <x v="2"/>
    <x v="7"/>
    <x v="15"/>
    <x v="13"/>
    <x v="6"/>
    <x v="0"/>
    <x v="1"/>
    <x v="3"/>
    <x v="0"/>
    <x v="0"/>
    <x v="0"/>
    <x v="36"/>
    <x v="1"/>
    <x v="3"/>
    <x v="0"/>
    <x v="11"/>
  </r>
  <r>
    <x v="163"/>
    <x v="0"/>
    <x v="2"/>
    <x v="3"/>
    <x v="4"/>
    <x v="22"/>
    <x v="23"/>
    <x v="0"/>
    <x v="1"/>
    <x v="3"/>
    <x v="5"/>
    <x v="0"/>
    <x v="0"/>
    <x v="21"/>
    <x v="1"/>
    <x v="3"/>
    <x v="5"/>
    <x v="7"/>
  </r>
  <r>
    <x v="164"/>
    <x v="2"/>
    <x v="2"/>
    <x v="2"/>
    <x v="29"/>
    <x v="35"/>
    <x v="36"/>
    <x v="0"/>
    <x v="3"/>
    <x v="4"/>
    <x v="5"/>
    <x v="0"/>
    <x v="0"/>
    <x v="37"/>
    <x v="3"/>
    <x v="4"/>
    <x v="5"/>
    <x v="5"/>
  </r>
  <r>
    <x v="165"/>
    <x v="2"/>
    <x v="0"/>
    <x v="23"/>
    <x v="5"/>
    <x v="3"/>
    <x v="15"/>
    <x v="0"/>
    <x v="3"/>
    <x v="4"/>
    <x v="4"/>
    <x v="0"/>
    <x v="0"/>
    <x v="4"/>
    <x v="3"/>
    <x v="4"/>
    <x v="4"/>
    <x v="0"/>
  </r>
  <r>
    <x v="166"/>
    <x v="3"/>
    <x v="0"/>
    <x v="29"/>
    <x v="1"/>
    <x v="1"/>
    <x v="29"/>
    <x v="0"/>
    <x v="0"/>
    <x v="1"/>
    <x v="5"/>
    <x v="1"/>
    <x v="3"/>
    <x v="2"/>
    <x v="0"/>
    <x v="1"/>
    <x v="5"/>
    <x v="2"/>
  </r>
  <r>
    <x v="167"/>
    <x v="2"/>
    <x v="2"/>
    <x v="6"/>
    <x v="5"/>
    <x v="24"/>
    <x v="3"/>
    <x v="0"/>
    <x v="0"/>
    <x v="5"/>
    <x v="4"/>
    <x v="1"/>
    <x v="5"/>
    <x v="2"/>
    <x v="0"/>
    <x v="5"/>
    <x v="4"/>
    <x v="2"/>
  </r>
  <r>
    <x v="168"/>
    <x v="2"/>
    <x v="0"/>
    <x v="6"/>
    <x v="3"/>
    <x v="16"/>
    <x v="33"/>
    <x v="0"/>
    <x v="4"/>
    <x v="1"/>
    <x v="6"/>
    <x v="0"/>
    <x v="0"/>
    <x v="32"/>
    <x v="4"/>
    <x v="1"/>
    <x v="6"/>
    <x v="7"/>
  </r>
  <r>
    <x v="169"/>
    <x v="1"/>
    <x v="2"/>
    <x v="11"/>
    <x v="7"/>
    <x v="11"/>
    <x v="3"/>
    <x v="0"/>
    <x v="4"/>
    <x v="4"/>
    <x v="5"/>
    <x v="0"/>
    <x v="0"/>
    <x v="19"/>
    <x v="4"/>
    <x v="4"/>
    <x v="5"/>
    <x v="0"/>
  </r>
  <r>
    <x v="170"/>
    <x v="3"/>
    <x v="1"/>
    <x v="1"/>
    <x v="2"/>
    <x v="2"/>
    <x v="2"/>
    <x v="1"/>
    <x v="2"/>
    <x v="2"/>
    <x v="2"/>
    <x v="1"/>
    <x v="2"/>
    <x v="2"/>
    <x v="2"/>
    <x v="2"/>
    <x v="2"/>
    <x v="2"/>
  </r>
  <r>
    <x v="171"/>
    <x v="3"/>
    <x v="2"/>
    <x v="14"/>
    <x v="21"/>
    <x v="14"/>
    <x v="14"/>
    <x v="0"/>
    <x v="0"/>
    <x v="5"/>
    <x v="6"/>
    <x v="0"/>
    <x v="0"/>
    <x v="38"/>
    <x v="0"/>
    <x v="5"/>
    <x v="6"/>
    <x v="10"/>
  </r>
  <r>
    <x v="172"/>
    <x v="3"/>
    <x v="2"/>
    <x v="8"/>
    <x v="32"/>
    <x v="19"/>
    <x v="20"/>
    <x v="0"/>
    <x v="5"/>
    <x v="0"/>
    <x v="5"/>
    <x v="0"/>
    <x v="0"/>
    <x v="7"/>
    <x v="5"/>
    <x v="0"/>
    <x v="5"/>
    <x v="1"/>
  </r>
  <r>
    <x v="173"/>
    <x v="3"/>
    <x v="2"/>
    <x v="30"/>
    <x v="26"/>
    <x v="29"/>
    <x v="30"/>
    <x v="0"/>
    <x v="4"/>
    <x v="5"/>
    <x v="4"/>
    <x v="0"/>
    <x v="0"/>
    <x v="28"/>
    <x v="4"/>
    <x v="5"/>
    <x v="4"/>
    <x v="5"/>
  </r>
  <r>
    <x v="174"/>
    <x v="3"/>
    <x v="0"/>
    <x v="17"/>
    <x v="1"/>
    <x v="17"/>
    <x v="32"/>
    <x v="0"/>
    <x v="5"/>
    <x v="4"/>
    <x v="1"/>
    <x v="0"/>
    <x v="0"/>
    <x v="39"/>
    <x v="5"/>
    <x v="4"/>
    <x v="1"/>
    <x v="5"/>
  </r>
  <r>
    <x v="175"/>
    <x v="3"/>
    <x v="1"/>
    <x v="8"/>
    <x v="2"/>
    <x v="2"/>
    <x v="2"/>
    <x v="1"/>
    <x v="2"/>
    <x v="2"/>
    <x v="2"/>
    <x v="1"/>
    <x v="5"/>
    <x v="2"/>
    <x v="2"/>
    <x v="2"/>
    <x v="2"/>
    <x v="2"/>
  </r>
  <r>
    <x v="176"/>
    <x v="0"/>
    <x v="0"/>
    <x v="3"/>
    <x v="34"/>
    <x v="9"/>
    <x v="37"/>
    <x v="0"/>
    <x v="5"/>
    <x v="0"/>
    <x v="0"/>
    <x v="0"/>
    <x v="0"/>
    <x v="40"/>
    <x v="5"/>
    <x v="0"/>
    <x v="0"/>
    <x v="9"/>
  </r>
  <r>
    <x v="177"/>
    <x v="2"/>
    <x v="2"/>
    <x v="6"/>
    <x v="22"/>
    <x v="16"/>
    <x v="21"/>
    <x v="0"/>
    <x v="1"/>
    <x v="0"/>
    <x v="5"/>
    <x v="0"/>
    <x v="0"/>
    <x v="5"/>
    <x v="1"/>
    <x v="0"/>
    <x v="5"/>
    <x v="7"/>
  </r>
  <r>
    <x v="178"/>
    <x v="3"/>
    <x v="0"/>
    <x v="7"/>
    <x v="6"/>
    <x v="36"/>
    <x v="31"/>
    <x v="0"/>
    <x v="3"/>
    <x v="5"/>
    <x v="3"/>
    <x v="0"/>
    <x v="0"/>
    <x v="34"/>
    <x v="3"/>
    <x v="5"/>
    <x v="3"/>
    <x v="3"/>
  </r>
  <r>
    <x v="179"/>
    <x v="2"/>
    <x v="0"/>
    <x v="5"/>
    <x v="4"/>
    <x v="22"/>
    <x v="11"/>
    <x v="0"/>
    <x v="0"/>
    <x v="3"/>
    <x v="0"/>
    <x v="0"/>
    <x v="0"/>
    <x v="7"/>
    <x v="0"/>
    <x v="3"/>
    <x v="0"/>
    <x v="8"/>
  </r>
  <r>
    <x v="180"/>
    <x v="2"/>
    <x v="2"/>
    <x v="25"/>
    <x v="26"/>
    <x v="32"/>
    <x v="38"/>
    <x v="0"/>
    <x v="3"/>
    <x v="4"/>
    <x v="4"/>
    <x v="0"/>
    <x v="0"/>
    <x v="4"/>
    <x v="3"/>
    <x v="4"/>
    <x v="4"/>
    <x v="10"/>
  </r>
  <r>
    <x v="181"/>
    <x v="0"/>
    <x v="0"/>
    <x v="27"/>
    <x v="7"/>
    <x v="11"/>
    <x v="29"/>
    <x v="0"/>
    <x v="0"/>
    <x v="4"/>
    <x v="1"/>
    <x v="0"/>
    <x v="0"/>
    <x v="12"/>
    <x v="0"/>
    <x v="4"/>
    <x v="1"/>
    <x v="8"/>
  </r>
  <r>
    <x v="182"/>
    <x v="3"/>
    <x v="1"/>
    <x v="6"/>
    <x v="2"/>
    <x v="2"/>
    <x v="2"/>
    <x v="1"/>
    <x v="2"/>
    <x v="2"/>
    <x v="2"/>
    <x v="1"/>
    <x v="2"/>
    <x v="2"/>
    <x v="2"/>
    <x v="2"/>
    <x v="2"/>
    <x v="2"/>
  </r>
  <r>
    <x v="183"/>
    <x v="1"/>
    <x v="2"/>
    <x v="25"/>
    <x v="26"/>
    <x v="36"/>
    <x v="25"/>
    <x v="0"/>
    <x v="3"/>
    <x v="3"/>
    <x v="1"/>
    <x v="0"/>
    <x v="0"/>
    <x v="41"/>
    <x v="3"/>
    <x v="3"/>
    <x v="1"/>
    <x v="5"/>
  </r>
  <r>
    <x v="184"/>
    <x v="0"/>
    <x v="0"/>
    <x v="23"/>
    <x v="18"/>
    <x v="8"/>
    <x v="24"/>
    <x v="0"/>
    <x v="0"/>
    <x v="1"/>
    <x v="3"/>
    <x v="0"/>
    <x v="0"/>
    <x v="8"/>
    <x v="0"/>
    <x v="1"/>
    <x v="3"/>
    <x v="9"/>
  </r>
  <r>
    <x v="185"/>
    <x v="1"/>
    <x v="0"/>
    <x v="0"/>
    <x v="31"/>
    <x v="18"/>
    <x v="24"/>
    <x v="0"/>
    <x v="3"/>
    <x v="1"/>
    <x v="6"/>
    <x v="0"/>
    <x v="0"/>
    <x v="6"/>
    <x v="3"/>
    <x v="1"/>
    <x v="6"/>
    <x v="0"/>
  </r>
  <r>
    <x v="186"/>
    <x v="2"/>
    <x v="0"/>
    <x v="26"/>
    <x v="0"/>
    <x v="26"/>
    <x v="5"/>
    <x v="0"/>
    <x v="1"/>
    <x v="4"/>
    <x v="4"/>
    <x v="0"/>
    <x v="0"/>
    <x v="3"/>
    <x v="1"/>
    <x v="4"/>
    <x v="4"/>
    <x v="9"/>
  </r>
  <r>
    <x v="187"/>
    <x v="2"/>
    <x v="2"/>
    <x v="30"/>
    <x v="15"/>
    <x v="13"/>
    <x v="6"/>
    <x v="0"/>
    <x v="5"/>
    <x v="3"/>
    <x v="0"/>
    <x v="0"/>
    <x v="0"/>
    <x v="19"/>
    <x v="5"/>
    <x v="3"/>
    <x v="0"/>
    <x v="11"/>
  </r>
  <r>
    <x v="188"/>
    <x v="0"/>
    <x v="2"/>
    <x v="13"/>
    <x v="27"/>
    <x v="14"/>
    <x v="14"/>
    <x v="0"/>
    <x v="0"/>
    <x v="3"/>
    <x v="6"/>
    <x v="0"/>
    <x v="0"/>
    <x v="32"/>
    <x v="0"/>
    <x v="3"/>
    <x v="6"/>
    <x v="3"/>
  </r>
  <r>
    <x v="189"/>
    <x v="0"/>
    <x v="1"/>
    <x v="13"/>
    <x v="2"/>
    <x v="2"/>
    <x v="2"/>
    <x v="1"/>
    <x v="2"/>
    <x v="2"/>
    <x v="2"/>
    <x v="1"/>
    <x v="2"/>
    <x v="2"/>
    <x v="2"/>
    <x v="2"/>
    <x v="2"/>
    <x v="2"/>
  </r>
  <r>
    <x v="190"/>
    <x v="1"/>
    <x v="1"/>
    <x v="19"/>
    <x v="2"/>
    <x v="2"/>
    <x v="2"/>
    <x v="1"/>
    <x v="2"/>
    <x v="2"/>
    <x v="2"/>
    <x v="1"/>
    <x v="1"/>
    <x v="2"/>
    <x v="2"/>
    <x v="2"/>
    <x v="2"/>
    <x v="2"/>
  </r>
  <r>
    <x v="191"/>
    <x v="3"/>
    <x v="0"/>
    <x v="23"/>
    <x v="9"/>
    <x v="8"/>
    <x v="17"/>
    <x v="0"/>
    <x v="5"/>
    <x v="0"/>
    <x v="6"/>
    <x v="0"/>
    <x v="0"/>
    <x v="42"/>
    <x v="5"/>
    <x v="0"/>
    <x v="6"/>
    <x v="4"/>
  </r>
  <r>
    <x v="192"/>
    <x v="1"/>
    <x v="0"/>
    <x v="8"/>
    <x v="8"/>
    <x v="19"/>
    <x v="37"/>
    <x v="0"/>
    <x v="0"/>
    <x v="1"/>
    <x v="4"/>
    <x v="1"/>
    <x v="3"/>
    <x v="2"/>
    <x v="0"/>
    <x v="1"/>
    <x v="4"/>
    <x v="2"/>
  </r>
  <r>
    <x v="193"/>
    <x v="0"/>
    <x v="0"/>
    <x v="29"/>
    <x v="1"/>
    <x v="1"/>
    <x v="3"/>
    <x v="0"/>
    <x v="0"/>
    <x v="1"/>
    <x v="0"/>
    <x v="0"/>
    <x v="0"/>
    <x v="22"/>
    <x v="0"/>
    <x v="1"/>
    <x v="0"/>
    <x v="7"/>
  </r>
  <r>
    <x v="194"/>
    <x v="1"/>
    <x v="0"/>
    <x v="25"/>
    <x v="13"/>
    <x v="13"/>
    <x v="28"/>
    <x v="0"/>
    <x v="1"/>
    <x v="0"/>
    <x v="4"/>
    <x v="0"/>
    <x v="0"/>
    <x v="36"/>
    <x v="1"/>
    <x v="0"/>
    <x v="4"/>
    <x v="9"/>
  </r>
  <r>
    <x v="195"/>
    <x v="0"/>
    <x v="0"/>
    <x v="24"/>
    <x v="27"/>
    <x v="30"/>
    <x v="25"/>
    <x v="0"/>
    <x v="3"/>
    <x v="5"/>
    <x v="3"/>
    <x v="0"/>
    <x v="0"/>
    <x v="39"/>
    <x v="3"/>
    <x v="5"/>
    <x v="3"/>
    <x v="3"/>
  </r>
  <r>
    <x v="196"/>
    <x v="1"/>
    <x v="2"/>
    <x v="7"/>
    <x v="30"/>
    <x v="21"/>
    <x v="14"/>
    <x v="0"/>
    <x v="0"/>
    <x v="1"/>
    <x v="3"/>
    <x v="0"/>
    <x v="0"/>
    <x v="33"/>
    <x v="0"/>
    <x v="1"/>
    <x v="3"/>
    <x v="4"/>
  </r>
  <r>
    <x v="197"/>
    <x v="0"/>
    <x v="1"/>
    <x v="21"/>
    <x v="2"/>
    <x v="2"/>
    <x v="2"/>
    <x v="1"/>
    <x v="2"/>
    <x v="2"/>
    <x v="2"/>
    <x v="1"/>
    <x v="3"/>
    <x v="2"/>
    <x v="2"/>
    <x v="2"/>
    <x v="2"/>
    <x v="2"/>
  </r>
  <r>
    <x v="198"/>
    <x v="0"/>
    <x v="0"/>
    <x v="22"/>
    <x v="25"/>
    <x v="15"/>
    <x v="13"/>
    <x v="0"/>
    <x v="3"/>
    <x v="0"/>
    <x v="1"/>
    <x v="0"/>
    <x v="0"/>
    <x v="1"/>
    <x v="3"/>
    <x v="0"/>
    <x v="1"/>
    <x v="1"/>
  </r>
  <r>
    <x v="199"/>
    <x v="0"/>
    <x v="1"/>
    <x v="4"/>
    <x v="2"/>
    <x v="2"/>
    <x v="2"/>
    <x v="1"/>
    <x v="2"/>
    <x v="2"/>
    <x v="2"/>
    <x v="1"/>
    <x v="2"/>
    <x v="2"/>
    <x v="2"/>
    <x v="2"/>
    <x v="2"/>
    <x v="2"/>
  </r>
  <r>
    <x v="200"/>
    <x v="3"/>
    <x v="2"/>
    <x v="18"/>
    <x v="18"/>
    <x v="26"/>
    <x v="17"/>
    <x v="0"/>
    <x v="1"/>
    <x v="3"/>
    <x v="5"/>
    <x v="0"/>
    <x v="0"/>
    <x v="30"/>
    <x v="1"/>
    <x v="3"/>
    <x v="5"/>
    <x v="5"/>
  </r>
  <r>
    <x v="201"/>
    <x v="1"/>
    <x v="2"/>
    <x v="18"/>
    <x v="31"/>
    <x v="28"/>
    <x v="24"/>
    <x v="0"/>
    <x v="4"/>
    <x v="5"/>
    <x v="1"/>
    <x v="0"/>
    <x v="0"/>
    <x v="43"/>
    <x v="4"/>
    <x v="5"/>
    <x v="1"/>
    <x v="0"/>
  </r>
  <r>
    <x v="202"/>
    <x v="1"/>
    <x v="2"/>
    <x v="19"/>
    <x v="4"/>
    <x v="12"/>
    <x v="18"/>
    <x v="0"/>
    <x v="5"/>
    <x v="4"/>
    <x v="6"/>
    <x v="0"/>
    <x v="0"/>
    <x v="44"/>
    <x v="5"/>
    <x v="4"/>
    <x v="6"/>
    <x v="0"/>
  </r>
  <r>
    <x v="203"/>
    <x v="1"/>
    <x v="0"/>
    <x v="18"/>
    <x v="9"/>
    <x v="18"/>
    <x v="0"/>
    <x v="0"/>
    <x v="0"/>
    <x v="3"/>
    <x v="1"/>
    <x v="0"/>
    <x v="0"/>
    <x v="31"/>
    <x v="0"/>
    <x v="3"/>
    <x v="1"/>
    <x v="3"/>
  </r>
  <r>
    <x v="204"/>
    <x v="0"/>
    <x v="1"/>
    <x v="24"/>
    <x v="2"/>
    <x v="2"/>
    <x v="2"/>
    <x v="1"/>
    <x v="2"/>
    <x v="2"/>
    <x v="2"/>
    <x v="1"/>
    <x v="4"/>
    <x v="2"/>
    <x v="2"/>
    <x v="2"/>
    <x v="2"/>
    <x v="2"/>
  </r>
  <r>
    <x v="205"/>
    <x v="1"/>
    <x v="2"/>
    <x v="22"/>
    <x v="28"/>
    <x v="15"/>
    <x v="18"/>
    <x v="0"/>
    <x v="1"/>
    <x v="5"/>
    <x v="5"/>
    <x v="0"/>
    <x v="0"/>
    <x v="30"/>
    <x v="1"/>
    <x v="5"/>
    <x v="5"/>
    <x v="0"/>
  </r>
  <r>
    <x v="206"/>
    <x v="1"/>
    <x v="1"/>
    <x v="16"/>
    <x v="2"/>
    <x v="2"/>
    <x v="2"/>
    <x v="1"/>
    <x v="2"/>
    <x v="2"/>
    <x v="2"/>
    <x v="1"/>
    <x v="4"/>
    <x v="2"/>
    <x v="2"/>
    <x v="2"/>
    <x v="2"/>
    <x v="2"/>
  </r>
  <r>
    <x v="207"/>
    <x v="0"/>
    <x v="0"/>
    <x v="27"/>
    <x v="1"/>
    <x v="11"/>
    <x v="29"/>
    <x v="0"/>
    <x v="3"/>
    <x v="0"/>
    <x v="1"/>
    <x v="0"/>
    <x v="0"/>
    <x v="19"/>
    <x v="3"/>
    <x v="0"/>
    <x v="1"/>
    <x v="11"/>
  </r>
  <r>
    <x v="208"/>
    <x v="2"/>
    <x v="1"/>
    <x v="11"/>
    <x v="2"/>
    <x v="2"/>
    <x v="2"/>
    <x v="1"/>
    <x v="2"/>
    <x v="2"/>
    <x v="2"/>
    <x v="1"/>
    <x v="5"/>
    <x v="2"/>
    <x v="2"/>
    <x v="2"/>
    <x v="2"/>
    <x v="2"/>
  </r>
  <r>
    <x v="209"/>
    <x v="0"/>
    <x v="2"/>
    <x v="20"/>
    <x v="35"/>
    <x v="9"/>
    <x v="37"/>
    <x v="0"/>
    <x v="0"/>
    <x v="3"/>
    <x v="0"/>
    <x v="0"/>
    <x v="0"/>
    <x v="0"/>
    <x v="0"/>
    <x v="3"/>
    <x v="0"/>
    <x v="3"/>
  </r>
  <r>
    <x v="210"/>
    <x v="1"/>
    <x v="1"/>
    <x v="11"/>
    <x v="2"/>
    <x v="2"/>
    <x v="2"/>
    <x v="1"/>
    <x v="2"/>
    <x v="2"/>
    <x v="2"/>
    <x v="1"/>
    <x v="5"/>
    <x v="2"/>
    <x v="2"/>
    <x v="2"/>
    <x v="2"/>
    <x v="2"/>
  </r>
  <r>
    <x v="211"/>
    <x v="0"/>
    <x v="0"/>
    <x v="29"/>
    <x v="17"/>
    <x v="21"/>
    <x v="14"/>
    <x v="0"/>
    <x v="3"/>
    <x v="5"/>
    <x v="3"/>
    <x v="1"/>
    <x v="1"/>
    <x v="2"/>
    <x v="3"/>
    <x v="5"/>
    <x v="3"/>
    <x v="2"/>
  </r>
  <r>
    <x v="212"/>
    <x v="2"/>
    <x v="2"/>
    <x v="3"/>
    <x v="11"/>
    <x v="31"/>
    <x v="13"/>
    <x v="0"/>
    <x v="4"/>
    <x v="4"/>
    <x v="5"/>
    <x v="0"/>
    <x v="0"/>
    <x v="12"/>
    <x v="4"/>
    <x v="4"/>
    <x v="5"/>
    <x v="8"/>
  </r>
  <r>
    <x v="213"/>
    <x v="0"/>
    <x v="2"/>
    <x v="23"/>
    <x v="18"/>
    <x v="26"/>
    <x v="21"/>
    <x v="0"/>
    <x v="0"/>
    <x v="3"/>
    <x v="3"/>
    <x v="0"/>
    <x v="0"/>
    <x v="17"/>
    <x v="0"/>
    <x v="3"/>
    <x v="3"/>
    <x v="0"/>
  </r>
  <r>
    <x v="214"/>
    <x v="1"/>
    <x v="1"/>
    <x v="4"/>
    <x v="2"/>
    <x v="2"/>
    <x v="2"/>
    <x v="1"/>
    <x v="2"/>
    <x v="2"/>
    <x v="2"/>
    <x v="1"/>
    <x v="2"/>
    <x v="2"/>
    <x v="2"/>
    <x v="2"/>
    <x v="2"/>
    <x v="2"/>
  </r>
  <r>
    <x v="215"/>
    <x v="2"/>
    <x v="1"/>
    <x v="29"/>
    <x v="2"/>
    <x v="2"/>
    <x v="2"/>
    <x v="1"/>
    <x v="2"/>
    <x v="2"/>
    <x v="2"/>
    <x v="1"/>
    <x v="5"/>
    <x v="2"/>
    <x v="2"/>
    <x v="2"/>
    <x v="2"/>
    <x v="2"/>
  </r>
  <r>
    <x v="216"/>
    <x v="3"/>
    <x v="2"/>
    <x v="23"/>
    <x v="9"/>
    <x v="18"/>
    <x v="9"/>
    <x v="0"/>
    <x v="5"/>
    <x v="3"/>
    <x v="3"/>
    <x v="0"/>
    <x v="0"/>
    <x v="31"/>
    <x v="5"/>
    <x v="3"/>
    <x v="3"/>
    <x v="6"/>
  </r>
  <r>
    <x v="217"/>
    <x v="1"/>
    <x v="0"/>
    <x v="18"/>
    <x v="9"/>
    <x v="0"/>
    <x v="17"/>
    <x v="0"/>
    <x v="0"/>
    <x v="1"/>
    <x v="3"/>
    <x v="1"/>
    <x v="5"/>
    <x v="2"/>
    <x v="0"/>
    <x v="1"/>
    <x v="3"/>
    <x v="2"/>
  </r>
  <r>
    <x v="218"/>
    <x v="2"/>
    <x v="1"/>
    <x v="30"/>
    <x v="2"/>
    <x v="2"/>
    <x v="2"/>
    <x v="1"/>
    <x v="2"/>
    <x v="2"/>
    <x v="2"/>
    <x v="1"/>
    <x v="2"/>
    <x v="2"/>
    <x v="2"/>
    <x v="2"/>
    <x v="2"/>
    <x v="2"/>
  </r>
  <r>
    <x v="219"/>
    <x v="2"/>
    <x v="1"/>
    <x v="18"/>
    <x v="2"/>
    <x v="2"/>
    <x v="2"/>
    <x v="1"/>
    <x v="2"/>
    <x v="2"/>
    <x v="2"/>
    <x v="1"/>
    <x v="1"/>
    <x v="2"/>
    <x v="2"/>
    <x v="2"/>
    <x v="2"/>
    <x v="2"/>
  </r>
  <r>
    <x v="220"/>
    <x v="3"/>
    <x v="1"/>
    <x v="8"/>
    <x v="2"/>
    <x v="2"/>
    <x v="2"/>
    <x v="1"/>
    <x v="2"/>
    <x v="2"/>
    <x v="2"/>
    <x v="1"/>
    <x v="5"/>
    <x v="2"/>
    <x v="2"/>
    <x v="2"/>
    <x v="2"/>
    <x v="2"/>
  </r>
  <r>
    <x v="221"/>
    <x v="0"/>
    <x v="0"/>
    <x v="15"/>
    <x v="23"/>
    <x v="31"/>
    <x v="26"/>
    <x v="0"/>
    <x v="5"/>
    <x v="5"/>
    <x v="4"/>
    <x v="0"/>
    <x v="0"/>
    <x v="6"/>
    <x v="5"/>
    <x v="5"/>
    <x v="4"/>
    <x v="9"/>
  </r>
  <r>
    <x v="222"/>
    <x v="0"/>
    <x v="0"/>
    <x v="7"/>
    <x v="6"/>
    <x v="36"/>
    <x v="39"/>
    <x v="0"/>
    <x v="3"/>
    <x v="5"/>
    <x v="5"/>
    <x v="0"/>
    <x v="0"/>
    <x v="17"/>
    <x v="3"/>
    <x v="5"/>
    <x v="5"/>
    <x v="10"/>
  </r>
  <r>
    <x v="223"/>
    <x v="1"/>
    <x v="0"/>
    <x v="8"/>
    <x v="8"/>
    <x v="19"/>
    <x v="10"/>
    <x v="0"/>
    <x v="0"/>
    <x v="1"/>
    <x v="6"/>
    <x v="0"/>
    <x v="0"/>
    <x v="40"/>
    <x v="0"/>
    <x v="1"/>
    <x v="6"/>
    <x v="11"/>
  </r>
  <r>
    <x v="224"/>
    <x v="3"/>
    <x v="0"/>
    <x v="22"/>
    <x v="28"/>
    <x v="12"/>
    <x v="4"/>
    <x v="0"/>
    <x v="1"/>
    <x v="0"/>
    <x v="5"/>
    <x v="0"/>
    <x v="0"/>
    <x v="31"/>
    <x v="1"/>
    <x v="0"/>
    <x v="5"/>
    <x v="9"/>
  </r>
  <r>
    <x v="225"/>
    <x v="0"/>
    <x v="0"/>
    <x v="28"/>
    <x v="21"/>
    <x v="23"/>
    <x v="27"/>
    <x v="0"/>
    <x v="1"/>
    <x v="0"/>
    <x v="6"/>
    <x v="1"/>
    <x v="1"/>
    <x v="2"/>
    <x v="1"/>
    <x v="0"/>
    <x v="6"/>
    <x v="2"/>
  </r>
  <r>
    <x v="226"/>
    <x v="3"/>
    <x v="0"/>
    <x v="0"/>
    <x v="18"/>
    <x v="8"/>
    <x v="0"/>
    <x v="0"/>
    <x v="4"/>
    <x v="1"/>
    <x v="5"/>
    <x v="1"/>
    <x v="3"/>
    <x v="2"/>
    <x v="4"/>
    <x v="1"/>
    <x v="5"/>
    <x v="2"/>
  </r>
  <r>
    <x v="227"/>
    <x v="0"/>
    <x v="2"/>
    <x v="28"/>
    <x v="21"/>
    <x v="21"/>
    <x v="19"/>
    <x v="0"/>
    <x v="1"/>
    <x v="3"/>
    <x v="5"/>
    <x v="0"/>
    <x v="0"/>
    <x v="34"/>
    <x v="1"/>
    <x v="3"/>
    <x v="5"/>
    <x v="8"/>
  </r>
  <r>
    <x v="228"/>
    <x v="2"/>
    <x v="1"/>
    <x v="17"/>
    <x v="2"/>
    <x v="2"/>
    <x v="2"/>
    <x v="1"/>
    <x v="2"/>
    <x v="2"/>
    <x v="2"/>
    <x v="1"/>
    <x v="1"/>
    <x v="2"/>
    <x v="2"/>
    <x v="2"/>
    <x v="2"/>
    <x v="2"/>
  </r>
  <r>
    <x v="229"/>
    <x v="0"/>
    <x v="0"/>
    <x v="26"/>
    <x v="9"/>
    <x v="27"/>
    <x v="5"/>
    <x v="0"/>
    <x v="4"/>
    <x v="4"/>
    <x v="3"/>
    <x v="0"/>
    <x v="0"/>
    <x v="10"/>
    <x v="4"/>
    <x v="4"/>
    <x v="3"/>
    <x v="0"/>
  </r>
  <r>
    <x v="230"/>
    <x v="3"/>
    <x v="0"/>
    <x v="25"/>
    <x v="26"/>
    <x v="5"/>
    <x v="28"/>
    <x v="0"/>
    <x v="3"/>
    <x v="0"/>
    <x v="6"/>
    <x v="0"/>
    <x v="0"/>
    <x v="45"/>
    <x v="3"/>
    <x v="0"/>
    <x v="6"/>
    <x v="0"/>
  </r>
  <r>
    <x v="231"/>
    <x v="2"/>
    <x v="0"/>
    <x v="14"/>
    <x v="17"/>
    <x v="14"/>
    <x v="19"/>
    <x v="0"/>
    <x v="5"/>
    <x v="4"/>
    <x v="1"/>
    <x v="0"/>
    <x v="0"/>
    <x v="11"/>
    <x v="5"/>
    <x v="4"/>
    <x v="1"/>
    <x v="1"/>
  </r>
  <r>
    <x v="232"/>
    <x v="2"/>
    <x v="0"/>
    <x v="24"/>
    <x v="27"/>
    <x v="30"/>
    <x v="6"/>
    <x v="0"/>
    <x v="3"/>
    <x v="5"/>
    <x v="6"/>
    <x v="1"/>
    <x v="4"/>
    <x v="2"/>
    <x v="3"/>
    <x v="5"/>
    <x v="6"/>
    <x v="2"/>
  </r>
  <r>
    <x v="233"/>
    <x v="2"/>
    <x v="2"/>
    <x v="14"/>
    <x v="17"/>
    <x v="21"/>
    <x v="16"/>
    <x v="0"/>
    <x v="5"/>
    <x v="5"/>
    <x v="6"/>
    <x v="0"/>
    <x v="0"/>
    <x v="29"/>
    <x v="5"/>
    <x v="5"/>
    <x v="6"/>
    <x v="3"/>
  </r>
  <r>
    <x v="234"/>
    <x v="3"/>
    <x v="2"/>
    <x v="21"/>
    <x v="18"/>
    <x v="18"/>
    <x v="26"/>
    <x v="0"/>
    <x v="5"/>
    <x v="0"/>
    <x v="5"/>
    <x v="0"/>
    <x v="0"/>
    <x v="31"/>
    <x v="5"/>
    <x v="0"/>
    <x v="5"/>
    <x v="8"/>
  </r>
  <r>
    <x v="235"/>
    <x v="1"/>
    <x v="2"/>
    <x v="25"/>
    <x v="6"/>
    <x v="5"/>
    <x v="28"/>
    <x v="0"/>
    <x v="4"/>
    <x v="3"/>
    <x v="6"/>
    <x v="0"/>
    <x v="0"/>
    <x v="11"/>
    <x v="4"/>
    <x v="3"/>
    <x v="6"/>
    <x v="11"/>
  </r>
  <r>
    <x v="236"/>
    <x v="1"/>
    <x v="2"/>
    <x v="14"/>
    <x v="27"/>
    <x v="30"/>
    <x v="16"/>
    <x v="0"/>
    <x v="1"/>
    <x v="5"/>
    <x v="5"/>
    <x v="0"/>
    <x v="0"/>
    <x v="20"/>
    <x v="1"/>
    <x v="5"/>
    <x v="5"/>
    <x v="11"/>
  </r>
  <r>
    <x v="237"/>
    <x v="1"/>
    <x v="0"/>
    <x v="2"/>
    <x v="26"/>
    <x v="32"/>
    <x v="28"/>
    <x v="0"/>
    <x v="1"/>
    <x v="4"/>
    <x v="1"/>
    <x v="0"/>
    <x v="0"/>
    <x v="18"/>
    <x v="1"/>
    <x v="4"/>
    <x v="1"/>
    <x v="6"/>
  </r>
  <r>
    <x v="238"/>
    <x v="3"/>
    <x v="0"/>
    <x v="4"/>
    <x v="24"/>
    <x v="1"/>
    <x v="12"/>
    <x v="0"/>
    <x v="4"/>
    <x v="3"/>
    <x v="4"/>
    <x v="0"/>
    <x v="0"/>
    <x v="18"/>
    <x v="4"/>
    <x v="3"/>
    <x v="4"/>
    <x v="10"/>
  </r>
  <r>
    <x v="239"/>
    <x v="2"/>
    <x v="2"/>
    <x v="11"/>
    <x v="7"/>
    <x v="3"/>
    <x v="3"/>
    <x v="0"/>
    <x v="4"/>
    <x v="0"/>
    <x v="3"/>
    <x v="1"/>
    <x v="4"/>
    <x v="2"/>
    <x v="4"/>
    <x v="0"/>
    <x v="3"/>
    <x v="2"/>
  </r>
  <r>
    <x v="240"/>
    <x v="1"/>
    <x v="0"/>
    <x v="12"/>
    <x v="9"/>
    <x v="26"/>
    <x v="24"/>
    <x v="0"/>
    <x v="3"/>
    <x v="5"/>
    <x v="0"/>
    <x v="0"/>
    <x v="0"/>
    <x v="19"/>
    <x v="3"/>
    <x v="5"/>
    <x v="0"/>
    <x v="3"/>
  </r>
  <r>
    <x v="241"/>
    <x v="3"/>
    <x v="2"/>
    <x v="18"/>
    <x v="31"/>
    <x v="26"/>
    <x v="5"/>
    <x v="0"/>
    <x v="4"/>
    <x v="0"/>
    <x v="4"/>
    <x v="0"/>
    <x v="0"/>
    <x v="26"/>
    <x v="4"/>
    <x v="0"/>
    <x v="4"/>
    <x v="10"/>
  </r>
  <r>
    <x v="242"/>
    <x v="1"/>
    <x v="1"/>
    <x v="6"/>
    <x v="2"/>
    <x v="2"/>
    <x v="2"/>
    <x v="1"/>
    <x v="2"/>
    <x v="2"/>
    <x v="2"/>
    <x v="1"/>
    <x v="1"/>
    <x v="2"/>
    <x v="2"/>
    <x v="2"/>
    <x v="2"/>
    <x v="2"/>
  </r>
  <r>
    <x v="243"/>
    <x v="0"/>
    <x v="1"/>
    <x v="29"/>
    <x v="2"/>
    <x v="2"/>
    <x v="2"/>
    <x v="1"/>
    <x v="2"/>
    <x v="2"/>
    <x v="2"/>
    <x v="1"/>
    <x v="4"/>
    <x v="2"/>
    <x v="2"/>
    <x v="2"/>
    <x v="2"/>
    <x v="2"/>
  </r>
  <r>
    <x v="244"/>
    <x v="1"/>
    <x v="2"/>
    <x v="30"/>
    <x v="6"/>
    <x v="5"/>
    <x v="28"/>
    <x v="0"/>
    <x v="1"/>
    <x v="3"/>
    <x v="6"/>
    <x v="0"/>
    <x v="0"/>
    <x v="46"/>
    <x v="1"/>
    <x v="3"/>
    <x v="6"/>
    <x v="5"/>
  </r>
  <r>
    <x v="245"/>
    <x v="1"/>
    <x v="0"/>
    <x v="24"/>
    <x v="21"/>
    <x v="21"/>
    <x v="22"/>
    <x v="0"/>
    <x v="4"/>
    <x v="3"/>
    <x v="1"/>
    <x v="1"/>
    <x v="3"/>
    <x v="2"/>
    <x v="4"/>
    <x v="3"/>
    <x v="1"/>
    <x v="2"/>
  </r>
  <r>
    <x v="246"/>
    <x v="2"/>
    <x v="2"/>
    <x v="29"/>
    <x v="20"/>
    <x v="17"/>
    <x v="27"/>
    <x v="0"/>
    <x v="4"/>
    <x v="3"/>
    <x v="3"/>
    <x v="0"/>
    <x v="0"/>
    <x v="15"/>
    <x v="4"/>
    <x v="3"/>
    <x v="3"/>
    <x v="5"/>
  </r>
  <r>
    <x v="247"/>
    <x v="3"/>
    <x v="0"/>
    <x v="12"/>
    <x v="28"/>
    <x v="10"/>
    <x v="23"/>
    <x v="0"/>
    <x v="5"/>
    <x v="1"/>
    <x v="1"/>
    <x v="0"/>
    <x v="0"/>
    <x v="47"/>
    <x v="5"/>
    <x v="1"/>
    <x v="1"/>
    <x v="8"/>
  </r>
  <r>
    <x v="248"/>
    <x v="2"/>
    <x v="0"/>
    <x v="29"/>
    <x v="20"/>
    <x v="25"/>
    <x v="22"/>
    <x v="0"/>
    <x v="4"/>
    <x v="1"/>
    <x v="3"/>
    <x v="0"/>
    <x v="0"/>
    <x v="32"/>
    <x v="4"/>
    <x v="1"/>
    <x v="3"/>
    <x v="11"/>
  </r>
  <r>
    <x v="249"/>
    <x v="2"/>
    <x v="2"/>
    <x v="12"/>
    <x v="9"/>
    <x v="27"/>
    <x v="5"/>
    <x v="0"/>
    <x v="3"/>
    <x v="4"/>
    <x v="3"/>
    <x v="0"/>
    <x v="0"/>
    <x v="17"/>
    <x v="3"/>
    <x v="4"/>
    <x v="3"/>
    <x v="9"/>
  </r>
  <r>
    <x v="250"/>
    <x v="2"/>
    <x v="0"/>
    <x v="3"/>
    <x v="11"/>
    <x v="10"/>
    <x v="18"/>
    <x v="0"/>
    <x v="4"/>
    <x v="3"/>
    <x v="3"/>
    <x v="0"/>
    <x v="0"/>
    <x v="6"/>
    <x v="4"/>
    <x v="3"/>
    <x v="3"/>
    <x v="0"/>
  </r>
  <r>
    <x v="251"/>
    <x v="2"/>
    <x v="2"/>
    <x v="11"/>
    <x v="22"/>
    <x v="24"/>
    <x v="21"/>
    <x v="0"/>
    <x v="0"/>
    <x v="3"/>
    <x v="1"/>
    <x v="0"/>
    <x v="0"/>
    <x v="11"/>
    <x v="0"/>
    <x v="3"/>
    <x v="1"/>
    <x v="5"/>
  </r>
  <r>
    <x v="252"/>
    <x v="2"/>
    <x v="2"/>
    <x v="25"/>
    <x v="15"/>
    <x v="37"/>
    <x v="39"/>
    <x v="0"/>
    <x v="0"/>
    <x v="5"/>
    <x v="6"/>
    <x v="0"/>
    <x v="0"/>
    <x v="33"/>
    <x v="0"/>
    <x v="5"/>
    <x v="6"/>
    <x v="4"/>
  </r>
  <r>
    <x v="253"/>
    <x v="1"/>
    <x v="0"/>
    <x v="26"/>
    <x v="12"/>
    <x v="8"/>
    <x v="24"/>
    <x v="0"/>
    <x v="5"/>
    <x v="4"/>
    <x v="3"/>
    <x v="0"/>
    <x v="0"/>
    <x v="1"/>
    <x v="5"/>
    <x v="4"/>
    <x v="3"/>
    <x v="8"/>
  </r>
  <r>
    <x v="254"/>
    <x v="2"/>
    <x v="0"/>
    <x v="24"/>
    <x v="19"/>
    <x v="23"/>
    <x v="12"/>
    <x v="0"/>
    <x v="5"/>
    <x v="4"/>
    <x v="1"/>
    <x v="0"/>
    <x v="0"/>
    <x v="20"/>
    <x v="5"/>
    <x v="4"/>
    <x v="1"/>
    <x v="7"/>
  </r>
  <r>
    <x v="255"/>
    <x v="2"/>
    <x v="0"/>
    <x v="20"/>
    <x v="35"/>
    <x v="38"/>
    <x v="40"/>
    <x v="0"/>
    <x v="0"/>
    <x v="0"/>
    <x v="0"/>
    <x v="1"/>
    <x v="2"/>
    <x v="2"/>
    <x v="0"/>
    <x v="0"/>
    <x v="0"/>
    <x v="2"/>
  </r>
  <r>
    <x v="256"/>
    <x v="3"/>
    <x v="0"/>
    <x v="17"/>
    <x v="1"/>
    <x v="25"/>
    <x v="32"/>
    <x v="0"/>
    <x v="5"/>
    <x v="3"/>
    <x v="0"/>
    <x v="0"/>
    <x v="0"/>
    <x v="42"/>
    <x v="5"/>
    <x v="3"/>
    <x v="0"/>
    <x v="9"/>
  </r>
  <r>
    <x v="257"/>
    <x v="0"/>
    <x v="1"/>
    <x v="19"/>
    <x v="2"/>
    <x v="2"/>
    <x v="2"/>
    <x v="1"/>
    <x v="2"/>
    <x v="2"/>
    <x v="2"/>
    <x v="1"/>
    <x v="4"/>
    <x v="2"/>
    <x v="2"/>
    <x v="2"/>
    <x v="2"/>
    <x v="2"/>
  </r>
  <r>
    <x v="258"/>
    <x v="1"/>
    <x v="2"/>
    <x v="19"/>
    <x v="4"/>
    <x v="10"/>
    <x v="18"/>
    <x v="0"/>
    <x v="5"/>
    <x v="5"/>
    <x v="3"/>
    <x v="1"/>
    <x v="4"/>
    <x v="2"/>
    <x v="5"/>
    <x v="5"/>
    <x v="3"/>
    <x v="2"/>
  </r>
  <r>
    <x v="259"/>
    <x v="1"/>
    <x v="0"/>
    <x v="0"/>
    <x v="9"/>
    <x v="8"/>
    <x v="0"/>
    <x v="0"/>
    <x v="1"/>
    <x v="0"/>
    <x v="5"/>
    <x v="0"/>
    <x v="0"/>
    <x v="31"/>
    <x v="1"/>
    <x v="0"/>
    <x v="5"/>
    <x v="8"/>
  </r>
  <r>
    <x v="260"/>
    <x v="1"/>
    <x v="0"/>
    <x v="23"/>
    <x v="31"/>
    <x v="18"/>
    <x v="0"/>
    <x v="0"/>
    <x v="1"/>
    <x v="1"/>
    <x v="1"/>
    <x v="0"/>
    <x v="0"/>
    <x v="20"/>
    <x v="1"/>
    <x v="1"/>
    <x v="1"/>
    <x v="0"/>
  </r>
  <r>
    <x v="261"/>
    <x v="2"/>
    <x v="0"/>
    <x v="26"/>
    <x v="9"/>
    <x v="18"/>
    <x v="24"/>
    <x v="0"/>
    <x v="4"/>
    <x v="3"/>
    <x v="6"/>
    <x v="0"/>
    <x v="0"/>
    <x v="6"/>
    <x v="4"/>
    <x v="3"/>
    <x v="6"/>
    <x v="3"/>
  </r>
  <r>
    <x v="262"/>
    <x v="2"/>
    <x v="1"/>
    <x v="19"/>
    <x v="2"/>
    <x v="2"/>
    <x v="2"/>
    <x v="1"/>
    <x v="2"/>
    <x v="2"/>
    <x v="2"/>
    <x v="1"/>
    <x v="1"/>
    <x v="2"/>
    <x v="2"/>
    <x v="2"/>
    <x v="2"/>
    <x v="2"/>
  </r>
  <r>
    <x v="263"/>
    <x v="2"/>
    <x v="0"/>
    <x v="20"/>
    <x v="35"/>
    <x v="4"/>
    <x v="37"/>
    <x v="0"/>
    <x v="0"/>
    <x v="4"/>
    <x v="1"/>
    <x v="0"/>
    <x v="0"/>
    <x v="40"/>
    <x v="0"/>
    <x v="4"/>
    <x v="1"/>
    <x v="7"/>
  </r>
  <r>
    <x v="264"/>
    <x v="3"/>
    <x v="0"/>
    <x v="28"/>
    <x v="30"/>
    <x v="30"/>
    <x v="14"/>
    <x v="0"/>
    <x v="3"/>
    <x v="3"/>
    <x v="0"/>
    <x v="0"/>
    <x v="0"/>
    <x v="26"/>
    <x v="3"/>
    <x v="3"/>
    <x v="0"/>
    <x v="11"/>
  </r>
  <r>
    <x v="265"/>
    <x v="0"/>
    <x v="0"/>
    <x v="4"/>
    <x v="3"/>
    <x v="3"/>
    <x v="1"/>
    <x v="0"/>
    <x v="0"/>
    <x v="3"/>
    <x v="0"/>
    <x v="0"/>
    <x v="0"/>
    <x v="5"/>
    <x v="0"/>
    <x v="3"/>
    <x v="0"/>
    <x v="7"/>
  </r>
  <r>
    <x v="266"/>
    <x v="2"/>
    <x v="1"/>
    <x v="7"/>
    <x v="2"/>
    <x v="2"/>
    <x v="2"/>
    <x v="1"/>
    <x v="2"/>
    <x v="2"/>
    <x v="2"/>
    <x v="1"/>
    <x v="3"/>
    <x v="2"/>
    <x v="2"/>
    <x v="2"/>
    <x v="2"/>
    <x v="2"/>
  </r>
  <r>
    <x v="267"/>
    <x v="0"/>
    <x v="1"/>
    <x v="21"/>
    <x v="2"/>
    <x v="2"/>
    <x v="2"/>
    <x v="1"/>
    <x v="2"/>
    <x v="2"/>
    <x v="2"/>
    <x v="1"/>
    <x v="2"/>
    <x v="2"/>
    <x v="2"/>
    <x v="2"/>
    <x v="2"/>
    <x v="2"/>
  </r>
  <r>
    <x v="268"/>
    <x v="3"/>
    <x v="0"/>
    <x v="24"/>
    <x v="20"/>
    <x v="25"/>
    <x v="32"/>
    <x v="0"/>
    <x v="0"/>
    <x v="1"/>
    <x v="0"/>
    <x v="0"/>
    <x v="0"/>
    <x v="3"/>
    <x v="0"/>
    <x v="1"/>
    <x v="0"/>
    <x v="5"/>
  </r>
  <r>
    <x v="269"/>
    <x v="1"/>
    <x v="0"/>
    <x v="0"/>
    <x v="9"/>
    <x v="26"/>
    <x v="5"/>
    <x v="0"/>
    <x v="1"/>
    <x v="5"/>
    <x v="4"/>
    <x v="0"/>
    <x v="0"/>
    <x v="12"/>
    <x v="1"/>
    <x v="5"/>
    <x v="4"/>
    <x v="10"/>
  </r>
  <r>
    <x v="270"/>
    <x v="2"/>
    <x v="2"/>
    <x v="13"/>
    <x v="30"/>
    <x v="13"/>
    <x v="16"/>
    <x v="0"/>
    <x v="1"/>
    <x v="5"/>
    <x v="1"/>
    <x v="0"/>
    <x v="0"/>
    <x v="26"/>
    <x v="1"/>
    <x v="5"/>
    <x v="1"/>
    <x v="7"/>
  </r>
  <r>
    <x v="271"/>
    <x v="0"/>
    <x v="2"/>
    <x v="20"/>
    <x v="8"/>
    <x v="9"/>
    <x v="11"/>
    <x v="0"/>
    <x v="5"/>
    <x v="5"/>
    <x v="4"/>
    <x v="0"/>
    <x v="0"/>
    <x v="8"/>
    <x v="5"/>
    <x v="5"/>
    <x v="4"/>
    <x v="5"/>
  </r>
  <r>
    <x v="272"/>
    <x v="0"/>
    <x v="0"/>
    <x v="17"/>
    <x v="21"/>
    <x v="23"/>
    <x v="19"/>
    <x v="0"/>
    <x v="3"/>
    <x v="0"/>
    <x v="0"/>
    <x v="0"/>
    <x v="0"/>
    <x v="3"/>
    <x v="3"/>
    <x v="0"/>
    <x v="0"/>
    <x v="3"/>
  </r>
  <r>
    <x v="273"/>
    <x v="2"/>
    <x v="2"/>
    <x v="5"/>
    <x v="11"/>
    <x v="12"/>
    <x v="4"/>
    <x v="0"/>
    <x v="1"/>
    <x v="5"/>
    <x v="5"/>
    <x v="0"/>
    <x v="0"/>
    <x v="10"/>
    <x v="1"/>
    <x v="5"/>
    <x v="5"/>
    <x v="0"/>
  </r>
  <r>
    <x v="274"/>
    <x v="1"/>
    <x v="0"/>
    <x v="13"/>
    <x v="21"/>
    <x v="23"/>
    <x v="12"/>
    <x v="0"/>
    <x v="5"/>
    <x v="0"/>
    <x v="1"/>
    <x v="0"/>
    <x v="0"/>
    <x v="32"/>
    <x v="5"/>
    <x v="0"/>
    <x v="1"/>
    <x v="9"/>
  </r>
  <r>
    <x v="275"/>
    <x v="1"/>
    <x v="2"/>
    <x v="25"/>
    <x v="26"/>
    <x v="37"/>
    <x v="39"/>
    <x v="0"/>
    <x v="3"/>
    <x v="1"/>
    <x v="6"/>
    <x v="0"/>
    <x v="0"/>
    <x v="18"/>
    <x v="3"/>
    <x v="1"/>
    <x v="6"/>
    <x v="4"/>
  </r>
  <r>
    <x v="276"/>
    <x v="1"/>
    <x v="0"/>
    <x v="30"/>
    <x v="6"/>
    <x v="5"/>
    <x v="6"/>
    <x v="0"/>
    <x v="1"/>
    <x v="3"/>
    <x v="1"/>
    <x v="0"/>
    <x v="0"/>
    <x v="32"/>
    <x v="1"/>
    <x v="3"/>
    <x v="1"/>
    <x v="1"/>
  </r>
  <r>
    <x v="277"/>
    <x v="3"/>
    <x v="0"/>
    <x v="14"/>
    <x v="21"/>
    <x v="23"/>
    <x v="27"/>
    <x v="0"/>
    <x v="0"/>
    <x v="0"/>
    <x v="6"/>
    <x v="0"/>
    <x v="0"/>
    <x v="4"/>
    <x v="0"/>
    <x v="0"/>
    <x v="6"/>
    <x v="10"/>
  </r>
  <r>
    <x v="278"/>
    <x v="0"/>
    <x v="1"/>
    <x v="19"/>
    <x v="2"/>
    <x v="2"/>
    <x v="2"/>
    <x v="1"/>
    <x v="2"/>
    <x v="2"/>
    <x v="2"/>
    <x v="1"/>
    <x v="1"/>
    <x v="2"/>
    <x v="2"/>
    <x v="2"/>
    <x v="2"/>
    <x v="2"/>
  </r>
  <r>
    <x v="279"/>
    <x v="0"/>
    <x v="2"/>
    <x v="29"/>
    <x v="1"/>
    <x v="1"/>
    <x v="3"/>
    <x v="0"/>
    <x v="0"/>
    <x v="1"/>
    <x v="0"/>
    <x v="1"/>
    <x v="1"/>
    <x v="2"/>
    <x v="0"/>
    <x v="1"/>
    <x v="0"/>
    <x v="2"/>
  </r>
  <r>
    <x v="280"/>
    <x v="0"/>
    <x v="0"/>
    <x v="18"/>
    <x v="16"/>
    <x v="27"/>
    <x v="9"/>
    <x v="0"/>
    <x v="3"/>
    <x v="0"/>
    <x v="0"/>
    <x v="0"/>
    <x v="0"/>
    <x v="42"/>
    <x v="3"/>
    <x v="0"/>
    <x v="0"/>
    <x v="1"/>
  </r>
  <r>
    <x v="281"/>
    <x v="3"/>
    <x v="1"/>
    <x v="15"/>
    <x v="2"/>
    <x v="2"/>
    <x v="2"/>
    <x v="1"/>
    <x v="2"/>
    <x v="2"/>
    <x v="2"/>
    <x v="1"/>
    <x v="3"/>
    <x v="2"/>
    <x v="2"/>
    <x v="2"/>
    <x v="2"/>
    <x v="2"/>
  </r>
  <r>
    <x v="282"/>
    <x v="0"/>
    <x v="2"/>
    <x v="5"/>
    <x v="28"/>
    <x v="10"/>
    <x v="13"/>
    <x v="0"/>
    <x v="3"/>
    <x v="1"/>
    <x v="6"/>
    <x v="1"/>
    <x v="2"/>
    <x v="2"/>
    <x v="3"/>
    <x v="1"/>
    <x v="6"/>
    <x v="2"/>
  </r>
  <r>
    <x v="283"/>
    <x v="3"/>
    <x v="1"/>
    <x v="23"/>
    <x v="2"/>
    <x v="2"/>
    <x v="2"/>
    <x v="1"/>
    <x v="2"/>
    <x v="2"/>
    <x v="2"/>
    <x v="1"/>
    <x v="3"/>
    <x v="2"/>
    <x v="2"/>
    <x v="2"/>
    <x v="2"/>
    <x v="2"/>
  </r>
  <r>
    <x v="284"/>
    <x v="1"/>
    <x v="0"/>
    <x v="20"/>
    <x v="34"/>
    <x v="4"/>
    <x v="8"/>
    <x v="0"/>
    <x v="1"/>
    <x v="5"/>
    <x v="5"/>
    <x v="0"/>
    <x v="0"/>
    <x v="0"/>
    <x v="1"/>
    <x v="5"/>
    <x v="5"/>
    <x v="8"/>
  </r>
  <r>
    <x v="285"/>
    <x v="2"/>
    <x v="0"/>
    <x v="29"/>
    <x v="19"/>
    <x v="17"/>
    <x v="16"/>
    <x v="0"/>
    <x v="1"/>
    <x v="5"/>
    <x v="4"/>
    <x v="0"/>
    <x v="0"/>
    <x v="25"/>
    <x v="1"/>
    <x v="5"/>
    <x v="4"/>
    <x v="3"/>
  </r>
  <r>
    <x v="286"/>
    <x v="0"/>
    <x v="1"/>
    <x v="11"/>
    <x v="2"/>
    <x v="2"/>
    <x v="2"/>
    <x v="1"/>
    <x v="2"/>
    <x v="2"/>
    <x v="2"/>
    <x v="1"/>
    <x v="2"/>
    <x v="2"/>
    <x v="2"/>
    <x v="2"/>
    <x v="2"/>
    <x v="2"/>
  </r>
  <r>
    <x v="287"/>
    <x v="0"/>
    <x v="2"/>
    <x v="7"/>
    <x v="6"/>
    <x v="13"/>
    <x v="16"/>
    <x v="0"/>
    <x v="3"/>
    <x v="1"/>
    <x v="1"/>
    <x v="0"/>
    <x v="0"/>
    <x v="46"/>
    <x v="3"/>
    <x v="1"/>
    <x v="1"/>
    <x v="0"/>
  </r>
  <r>
    <x v="288"/>
    <x v="1"/>
    <x v="0"/>
    <x v="11"/>
    <x v="24"/>
    <x v="25"/>
    <x v="19"/>
    <x v="0"/>
    <x v="3"/>
    <x v="4"/>
    <x v="4"/>
    <x v="1"/>
    <x v="3"/>
    <x v="2"/>
    <x v="3"/>
    <x v="4"/>
    <x v="4"/>
    <x v="2"/>
  </r>
  <r>
    <x v="289"/>
    <x v="2"/>
    <x v="1"/>
    <x v="12"/>
    <x v="2"/>
    <x v="2"/>
    <x v="2"/>
    <x v="1"/>
    <x v="2"/>
    <x v="2"/>
    <x v="2"/>
    <x v="1"/>
    <x v="1"/>
    <x v="2"/>
    <x v="2"/>
    <x v="2"/>
    <x v="2"/>
    <x v="2"/>
  </r>
  <r>
    <x v="290"/>
    <x v="3"/>
    <x v="2"/>
    <x v="29"/>
    <x v="14"/>
    <x v="6"/>
    <x v="33"/>
    <x v="0"/>
    <x v="5"/>
    <x v="1"/>
    <x v="1"/>
    <x v="0"/>
    <x v="0"/>
    <x v="5"/>
    <x v="5"/>
    <x v="1"/>
    <x v="1"/>
    <x v="8"/>
  </r>
  <r>
    <x v="291"/>
    <x v="2"/>
    <x v="0"/>
    <x v="12"/>
    <x v="28"/>
    <x v="12"/>
    <x v="13"/>
    <x v="0"/>
    <x v="5"/>
    <x v="0"/>
    <x v="0"/>
    <x v="0"/>
    <x v="0"/>
    <x v="12"/>
    <x v="5"/>
    <x v="0"/>
    <x v="0"/>
    <x v="10"/>
  </r>
  <r>
    <x v="292"/>
    <x v="1"/>
    <x v="1"/>
    <x v="27"/>
    <x v="2"/>
    <x v="2"/>
    <x v="2"/>
    <x v="1"/>
    <x v="2"/>
    <x v="2"/>
    <x v="2"/>
    <x v="1"/>
    <x v="1"/>
    <x v="2"/>
    <x v="2"/>
    <x v="2"/>
    <x v="2"/>
    <x v="2"/>
  </r>
  <r>
    <x v="293"/>
    <x v="1"/>
    <x v="2"/>
    <x v="8"/>
    <x v="32"/>
    <x v="39"/>
    <x v="41"/>
    <x v="0"/>
    <x v="5"/>
    <x v="1"/>
    <x v="1"/>
    <x v="0"/>
    <x v="0"/>
    <x v="21"/>
    <x v="5"/>
    <x v="1"/>
    <x v="1"/>
    <x v="5"/>
  </r>
  <r>
    <x v="294"/>
    <x v="2"/>
    <x v="1"/>
    <x v="17"/>
    <x v="2"/>
    <x v="2"/>
    <x v="2"/>
    <x v="1"/>
    <x v="2"/>
    <x v="2"/>
    <x v="2"/>
    <x v="1"/>
    <x v="5"/>
    <x v="2"/>
    <x v="2"/>
    <x v="2"/>
    <x v="2"/>
    <x v="2"/>
  </r>
  <r>
    <x v="295"/>
    <x v="3"/>
    <x v="0"/>
    <x v="16"/>
    <x v="16"/>
    <x v="28"/>
    <x v="24"/>
    <x v="0"/>
    <x v="0"/>
    <x v="3"/>
    <x v="1"/>
    <x v="1"/>
    <x v="4"/>
    <x v="2"/>
    <x v="0"/>
    <x v="3"/>
    <x v="1"/>
    <x v="2"/>
  </r>
  <r>
    <x v="296"/>
    <x v="3"/>
    <x v="0"/>
    <x v="21"/>
    <x v="31"/>
    <x v="16"/>
    <x v="9"/>
    <x v="0"/>
    <x v="0"/>
    <x v="4"/>
    <x v="1"/>
    <x v="0"/>
    <x v="0"/>
    <x v="24"/>
    <x v="0"/>
    <x v="4"/>
    <x v="1"/>
    <x v="5"/>
  </r>
  <r>
    <x v="297"/>
    <x v="0"/>
    <x v="0"/>
    <x v="6"/>
    <x v="16"/>
    <x v="26"/>
    <x v="9"/>
    <x v="0"/>
    <x v="5"/>
    <x v="1"/>
    <x v="6"/>
    <x v="0"/>
    <x v="0"/>
    <x v="23"/>
    <x v="5"/>
    <x v="1"/>
    <x v="6"/>
    <x v="4"/>
  </r>
  <r>
    <x v="298"/>
    <x v="3"/>
    <x v="2"/>
    <x v="11"/>
    <x v="5"/>
    <x v="3"/>
    <x v="15"/>
    <x v="0"/>
    <x v="5"/>
    <x v="4"/>
    <x v="4"/>
    <x v="0"/>
    <x v="0"/>
    <x v="20"/>
    <x v="5"/>
    <x v="4"/>
    <x v="4"/>
    <x v="4"/>
  </r>
  <r>
    <x v="299"/>
    <x v="2"/>
    <x v="1"/>
    <x v="25"/>
    <x v="2"/>
    <x v="2"/>
    <x v="2"/>
    <x v="1"/>
    <x v="2"/>
    <x v="2"/>
    <x v="2"/>
    <x v="1"/>
    <x v="3"/>
    <x v="2"/>
    <x v="2"/>
    <x v="2"/>
    <x v="2"/>
    <x v="2"/>
  </r>
  <r>
    <x v="300"/>
    <x v="1"/>
    <x v="1"/>
    <x v="18"/>
    <x v="2"/>
    <x v="2"/>
    <x v="2"/>
    <x v="1"/>
    <x v="2"/>
    <x v="2"/>
    <x v="2"/>
    <x v="1"/>
    <x v="5"/>
    <x v="2"/>
    <x v="2"/>
    <x v="2"/>
    <x v="2"/>
    <x v="2"/>
  </r>
  <r>
    <x v="301"/>
    <x v="0"/>
    <x v="0"/>
    <x v="30"/>
    <x v="33"/>
    <x v="34"/>
    <x v="31"/>
    <x v="0"/>
    <x v="3"/>
    <x v="4"/>
    <x v="5"/>
    <x v="0"/>
    <x v="0"/>
    <x v="26"/>
    <x v="3"/>
    <x v="4"/>
    <x v="5"/>
    <x v="1"/>
  </r>
  <r>
    <x v="302"/>
    <x v="0"/>
    <x v="0"/>
    <x v="10"/>
    <x v="34"/>
    <x v="38"/>
    <x v="40"/>
    <x v="0"/>
    <x v="0"/>
    <x v="1"/>
    <x v="0"/>
    <x v="0"/>
    <x v="0"/>
    <x v="21"/>
    <x v="0"/>
    <x v="1"/>
    <x v="0"/>
    <x v="7"/>
  </r>
  <r>
    <x v="303"/>
    <x v="1"/>
    <x v="0"/>
    <x v="4"/>
    <x v="22"/>
    <x v="28"/>
    <x v="33"/>
    <x v="0"/>
    <x v="5"/>
    <x v="1"/>
    <x v="3"/>
    <x v="0"/>
    <x v="0"/>
    <x v="8"/>
    <x v="5"/>
    <x v="1"/>
    <x v="3"/>
    <x v="5"/>
  </r>
  <r>
    <x v="304"/>
    <x v="3"/>
    <x v="0"/>
    <x v="15"/>
    <x v="25"/>
    <x v="8"/>
    <x v="26"/>
    <x v="0"/>
    <x v="4"/>
    <x v="5"/>
    <x v="0"/>
    <x v="0"/>
    <x v="0"/>
    <x v="19"/>
    <x v="4"/>
    <x v="5"/>
    <x v="0"/>
    <x v="10"/>
  </r>
  <r>
    <x v="305"/>
    <x v="1"/>
    <x v="0"/>
    <x v="1"/>
    <x v="1"/>
    <x v="1"/>
    <x v="32"/>
    <x v="0"/>
    <x v="1"/>
    <x v="1"/>
    <x v="3"/>
    <x v="0"/>
    <x v="0"/>
    <x v="19"/>
    <x v="1"/>
    <x v="1"/>
    <x v="3"/>
    <x v="10"/>
  </r>
  <r>
    <x v="306"/>
    <x v="3"/>
    <x v="0"/>
    <x v="18"/>
    <x v="0"/>
    <x v="15"/>
    <x v="35"/>
    <x v="0"/>
    <x v="5"/>
    <x v="1"/>
    <x v="0"/>
    <x v="0"/>
    <x v="0"/>
    <x v="6"/>
    <x v="5"/>
    <x v="1"/>
    <x v="0"/>
    <x v="1"/>
  </r>
  <r>
    <x v="307"/>
    <x v="1"/>
    <x v="0"/>
    <x v="17"/>
    <x v="19"/>
    <x v="17"/>
    <x v="19"/>
    <x v="0"/>
    <x v="0"/>
    <x v="5"/>
    <x v="6"/>
    <x v="0"/>
    <x v="0"/>
    <x v="11"/>
    <x v="0"/>
    <x v="5"/>
    <x v="6"/>
    <x v="3"/>
  </r>
  <r>
    <x v="308"/>
    <x v="2"/>
    <x v="0"/>
    <x v="2"/>
    <x v="13"/>
    <x v="5"/>
    <x v="28"/>
    <x v="0"/>
    <x v="5"/>
    <x v="5"/>
    <x v="6"/>
    <x v="0"/>
    <x v="0"/>
    <x v="32"/>
    <x v="5"/>
    <x v="5"/>
    <x v="6"/>
    <x v="5"/>
  </r>
  <r>
    <x v="309"/>
    <x v="3"/>
    <x v="0"/>
    <x v="25"/>
    <x v="6"/>
    <x v="5"/>
    <x v="28"/>
    <x v="0"/>
    <x v="4"/>
    <x v="3"/>
    <x v="6"/>
    <x v="0"/>
    <x v="0"/>
    <x v="18"/>
    <x v="4"/>
    <x v="3"/>
    <x v="6"/>
    <x v="7"/>
  </r>
  <r>
    <x v="310"/>
    <x v="2"/>
    <x v="2"/>
    <x v="24"/>
    <x v="27"/>
    <x v="23"/>
    <x v="27"/>
    <x v="0"/>
    <x v="3"/>
    <x v="1"/>
    <x v="6"/>
    <x v="0"/>
    <x v="0"/>
    <x v="20"/>
    <x v="3"/>
    <x v="1"/>
    <x v="6"/>
    <x v="9"/>
  </r>
  <r>
    <x v="311"/>
    <x v="0"/>
    <x v="2"/>
    <x v="8"/>
    <x v="8"/>
    <x v="33"/>
    <x v="34"/>
    <x v="0"/>
    <x v="0"/>
    <x v="0"/>
    <x v="5"/>
    <x v="0"/>
    <x v="0"/>
    <x v="27"/>
    <x v="0"/>
    <x v="0"/>
    <x v="5"/>
    <x v="5"/>
  </r>
  <r>
    <x v="312"/>
    <x v="1"/>
    <x v="0"/>
    <x v="26"/>
    <x v="18"/>
    <x v="28"/>
    <x v="9"/>
    <x v="0"/>
    <x v="3"/>
    <x v="4"/>
    <x v="5"/>
    <x v="0"/>
    <x v="0"/>
    <x v="30"/>
    <x v="3"/>
    <x v="4"/>
    <x v="5"/>
    <x v="5"/>
  </r>
  <r>
    <x v="313"/>
    <x v="0"/>
    <x v="0"/>
    <x v="5"/>
    <x v="11"/>
    <x v="12"/>
    <x v="35"/>
    <x v="0"/>
    <x v="1"/>
    <x v="5"/>
    <x v="3"/>
    <x v="0"/>
    <x v="0"/>
    <x v="8"/>
    <x v="1"/>
    <x v="5"/>
    <x v="3"/>
    <x v="5"/>
  </r>
  <r>
    <x v="314"/>
    <x v="0"/>
    <x v="0"/>
    <x v="3"/>
    <x v="23"/>
    <x v="22"/>
    <x v="23"/>
    <x v="0"/>
    <x v="3"/>
    <x v="1"/>
    <x v="5"/>
    <x v="0"/>
    <x v="0"/>
    <x v="31"/>
    <x v="3"/>
    <x v="1"/>
    <x v="5"/>
    <x v="8"/>
  </r>
  <r>
    <x v="315"/>
    <x v="0"/>
    <x v="0"/>
    <x v="23"/>
    <x v="9"/>
    <x v="8"/>
    <x v="26"/>
    <x v="0"/>
    <x v="5"/>
    <x v="0"/>
    <x v="0"/>
    <x v="0"/>
    <x v="0"/>
    <x v="30"/>
    <x v="5"/>
    <x v="0"/>
    <x v="0"/>
    <x v="7"/>
  </r>
  <r>
    <x v="316"/>
    <x v="0"/>
    <x v="0"/>
    <x v="23"/>
    <x v="16"/>
    <x v="24"/>
    <x v="1"/>
    <x v="0"/>
    <x v="4"/>
    <x v="4"/>
    <x v="6"/>
    <x v="0"/>
    <x v="0"/>
    <x v="18"/>
    <x v="4"/>
    <x v="4"/>
    <x v="6"/>
    <x v="3"/>
  </r>
  <r>
    <x v="317"/>
    <x v="1"/>
    <x v="0"/>
    <x v="8"/>
    <x v="10"/>
    <x v="9"/>
    <x v="10"/>
    <x v="0"/>
    <x v="3"/>
    <x v="1"/>
    <x v="1"/>
    <x v="1"/>
    <x v="4"/>
    <x v="2"/>
    <x v="3"/>
    <x v="1"/>
    <x v="1"/>
    <x v="2"/>
  </r>
  <r>
    <x v="318"/>
    <x v="0"/>
    <x v="0"/>
    <x v="2"/>
    <x v="33"/>
    <x v="36"/>
    <x v="36"/>
    <x v="0"/>
    <x v="4"/>
    <x v="0"/>
    <x v="4"/>
    <x v="0"/>
    <x v="0"/>
    <x v="22"/>
    <x v="4"/>
    <x v="0"/>
    <x v="4"/>
    <x v="5"/>
  </r>
  <r>
    <x v="319"/>
    <x v="1"/>
    <x v="0"/>
    <x v="22"/>
    <x v="23"/>
    <x v="15"/>
    <x v="17"/>
    <x v="0"/>
    <x v="0"/>
    <x v="4"/>
    <x v="4"/>
    <x v="1"/>
    <x v="3"/>
    <x v="2"/>
    <x v="0"/>
    <x v="4"/>
    <x v="4"/>
    <x v="2"/>
  </r>
  <r>
    <x v="320"/>
    <x v="1"/>
    <x v="0"/>
    <x v="26"/>
    <x v="25"/>
    <x v="15"/>
    <x v="17"/>
    <x v="0"/>
    <x v="0"/>
    <x v="0"/>
    <x v="4"/>
    <x v="0"/>
    <x v="0"/>
    <x v="21"/>
    <x v="0"/>
    <x v="0"/>
    <x v="4"/>
    <x v="8"/>
  </r>
  <r>
    <x v="321"/>
    <x v="2"/>
    <x v="1"/>
    <x v="5"/>
    <x v="2"/>
    <x v="2"/>
    <x v="2"/>
    <x v="1"/>
    <x v="2"/>
    <x v="2"/>
    <x v="2"/>
    <x v="1"/>
    <x v="2"/>
    <x v="2"/>
    <x v="2"/>
    <x v="2"/>
    <x v="2"/>
    <x v="2"/>
  </r>
  <r>
    <x v="322"/>
    <x v="3"/>
    <x v="0"/>
    <x v="17"/>
    <x v="1"/>
    <x v="20"/>
    <x v="15"/>
    <x v="0"/>
    <x v="5"/>
    <x v="5"/>
    <x v="1"/>
    <x v="1"/>
    <x v="4"/>
    <x v="2"/>
    <x v="5"/>
    <x v="5"/>
    <x v="1"/>
    <x v="2"/>
  </r>
  <r>
    <x v="323"/>
    <x v="3"/>
    <x v="2"/>
    <x v="23"/>
    <x v="9"/>
    <x v="0"/>
    <x v="0"/>
    <x v="0"/>
    <x v="5"/>
    <x v="1"/>
    <x v="0"/>
    <x v="0"/>
    <x v="0"/>
    <x v="21"/>
    <x v="5"/>
    <x v="1"/>
    <x v="0"/>
    <x v="0"/>
  </r>
  <r>
    <x v="324"/>
    <x v="1"/>
    <x v="2"/>
    <x v="30"/>
    <x v="15"/>
    <x v="30"/>
    <x v="39"/>
    <x v="0"/>
    <x v="5"/>
    <x v="0"/>
    <x v="4"/>
    <x v="1"/>
    <x v="1"/>
    <x v="2"/>
    <x v="5"/>
    <x v="0"/>
    <x v="4"/>
    <x v="2"/>
  </r>
  <r>
    <x v="325"/>
    <x v="2"/>
    <x v="2"/>
    <x v="22"/>
    <x v="12"/>
    <x v="31"/>
    <x v="26"/>
    <x v="0"/>
    <x v="4"/>
    <x v="0"/>
    <x v="4"/>
    <x v="0"/>
    <x v="0"/>
    <x v="6"/>
    <x v="4"/>
    <x v="0"/>
    <x v="4"/>
    <x v="4"/>
  </r>
  <r>
    <x v="326"/>
    <x v="1"/>
    <x v="0"/>
    <x v="22"/>
    <x v="28"/>
    <x v="10"/>
    <x v="18"/>
    <x v="0"/>
    <x v="1"/>
    <x v="1"/>
    <x v="3"/>
    <x v="0"/>
    <x v="0"/>
    <x v="13"/>
    <x v="1"/>
    <x v="1"/>
    <x v="3"/>
    <x v="5"/>
  </r>
  <r>
    <x v="327"/>
    <x v="1"/>
    <x v="0"/>
    <x v="14"/>
    <x v="27"/>
    <x v="13"/>
    <x v="6"/>
    <x v="0"/>
    <x v="1"/>
    <x v="4"/>
    <x v="0"/>
    <x v="0"/>
    <x v="0"/>
    <x v="29"/>
    <x v="1"/>
    <x v="4"/>
    <x v="0"/>
    <x v="11"/>
  </r>
  <r>
    <x v="328"/>
    <x v="1"/>
    <x v="0"/>
    <x v="6"/>
    <x v="22"/>
    <x v="28"/>
    <x v="21"/>
    <x v="0"/>
    <x v="1"/>
    <x v="1"/>
    <x v="0"/>
    <x v="0"/>
    <x v="0"/>
    <x v="11"/>
    <x v="1"/>
    <x v="1"/>
    <x v="0"/>
    <x v="9"/>
  </r>
  <r>
    <x v="329"/>
    <x v="2"/>
    <x v="0"/>
    <x v="16"/>
    <x v="16"/>
    <x v="27"/>
    <x v="33"/>
    <x v="0"/>
    <x v="0"/>
    <x v="0"/>
    <x v="4"/>
    <x v="0"/>
    <x v="0"/>
    <x v="24"/>
    <x v="0"/>
    <x v="0"/>
    <x v="4"/>
    <x v="0"/>
  </r>
  <r>
    <x v="330"/>
    <x v="3"/>
    <x v="2"/>
    <x v="0"/>
    <x v="0"/>
    <x v="8"/>
    <x v="26"/>
    <x v="0"/>
    <x v="0"/>
    <x v="3"/>
    <x v="0"/>
    <x v="0"/>
    <x v="0"/>
    <x v="14"/>
    <x v="0"/>
    <x v="3"/>
    <x v="0"/>
    <x v="10"/>
  </r>
  <r>
    <x v="331"/>
    <x v="2"/>
    <x v="0"/>
    <x v="11"/>
    <x v="3"/>
    <x v="1"/>
    <x v="32"/>
    <x v="0"/>
    <x v="1"/>
    <x v="4"/>
    <x v="3"/>
    <x v="0"/>
    <x v="0"/>
    <x v="18"/>
    <x v="1"/>
    <x v="4"/>
    <x v="3"/>
    <x v="6"/>
  </r>
  <r>
    <x v="332"/>
    <x v="0"/>
    <x v="2"/>
    <x v="20"/>
    <x v="8"/>
    <x v="33"/>
    <x v="20"/>
    <x v="0"/>
    <x v="5"/>
    <x v="0"/>
    <x v="1"/>
    <x v="0"/>
    <x v="0"/>
    <x v="27"/>
    <x v="5"/>
    <x v="0"/>
    <x v="1"/>
    <x v="0"/>
  </r>
  <r>
    <x v="333"/>
    <x v="2"/>
    <x v="0"/>
    <x v="17"/>
    <x v="21"/>
    <x v="21"/>
    <x v="14"/>
    <x v="0"/>
    <x v="3"/>
    <x v="3"/>
    <x v="3"/>
    <x v="0"/>
    <x v="0"/>
    <x v="33"/>
    <x v="3"/>
    <x v="3"/>
    <x v="3"/>
    <x v="0"/>
  </r>
  <r>
    <x v="334"/>
    <x v="2"/>
    <x v="2"/>
    <x v="14"/>
    <x v="27"/>
    <x v="13"/>
    <x v="16"/>
    <x v="0"/>
    <x v="1"/>
    <x v="4"/>
    <x v="1"/>
    <x v="0"/>
    <x v="0"/>
    <x v="38"/>
    <x v="1"/>
    <x v="4"/>
    <x v="1"/>
    <x v="10"/>
  </r>
  <r>
    <x v="335"/>
    <x v="2"/>
    <x v="1"/>
    <x v="23"/>
    <x v="2"/>
    <x v="2"/>
    <x v="2"/>
    <x v="1"/>
    <x v="2"/>
    <x v="2"/>
    <x v="2"/>
    <x v="1"/>
    <x v="5"/>
    <x v="2"/>
    <x v="2"/>
    <x v="2"/>
    <x v="2"/>
    <x v="2"/>
  </r>
  <r>
    <x v="336"/>
    <x v="2"/>
    <x v="2"/>
    <x v="4"/>
    <x v="14"/>
    <x v="25"/>
    <x v="12"/>
    <x v="0"/>
    <x v="3"/>
    <x v="5"/>
    <x v="6"/>
    <x v="0"/>
    <x v="0"/>
    <x v="33"/>
    <x v="3"/>
    <x v="5"/>
    <x v="6"/>
    <x v="11"/>
  </r>
  <r>
    <x v="337"/>
    <x v="3"/>
    <x v="1"/>
    <x v="0"/>
    <x v="2"/>
    <x v="2"/>
    <x v="2"/>
    <x v="1"/>
    <x v="2"/>
    <x v="2"/>
    <x v="2"/>
    <x v="1"/>
    <x v="4"/>
    <x v="2"/>
    <x v="2"/>
    <x v="2"/>
    <x v="2"/>
    <x v="2"/>
  </r>
  <r>
    <x v="338"/>
    <x v="0"/>
    <x v="0"/>
    <x v="5"/>
    <x v="11"/>
    <x v="4"/>
    <x v="4"/>
    <x v="0"/>
    <x v="1"/>
    <x v="1"/>
    <x v="3"/>
    <x v="0"/>
    <x v="0"/>
    <x v="6"/>
    <x v="1"/>
    <x v="1"/>
    <x v="3"/>
    <x v="9"/>
  </r>
  <r>
    <x v="339"/>
    <x v="3"/>
    <x v="1"/>
    <x v="6"/>
    <x v="2"/>
    <x v="2"/>
    <x v="2"/>
    <x v="1"/>
    <x v="2"/>
    <x v="2"/>
    <x v="2"/>
    <x v="1"/>
    <x v="4"/>
    <x v="2"/>
    <x v="2"/>
    <x v="2"/>
    <x v="2"/>
    <x v="2"/>
  </r>
  <r>
    <x v="340"/>
    <x v="3"/>
    <x v="0"/>
    <x v="25"/>
    <x v="26"/>
    <x v="32"/>
    <x v="36"/>
    <x v="0"/>
    <x v="3"/>
    <x v="4"/>
    <x v="6"/>
    <x v="0"/>
    <x v="0"/>
    <x v="35"/>
    <x v="3"/>
    <x v="4"/>
    <x v="6"/>
    <x v="4"/>
  </r>
  <r>
    <x v="341"/>
    <x v="2"/>
    <x v="0"/>
    <x v="6"/>
    <x v="16"/>
    <x v="24"/>
    <x v="3"/>
    <x v="0"/>
    <x v="5"/>
    <x v="4"/>
    <x v="4"/>
    <x v="0"/>
    <x v="0"/>
    <x v="42"/>
    <x v="5"/>
    <x v="4"/>
    <x v="4"/>
    <x v="10"/>
  </r>
  <r>
    <x v="342"/>
    <x v="1"/>
    <x v="0"/>
    <x v="9"/>
    <x v="24"/>
    <x v="6"/>
    <x v="33"/>
    <x v="0"/>
    <x v="0"/>
    <x v="0"/>
    <x v="1"/>
    <x v="0"/>
    <x v="0"/>
    <x v="3"/>
    <x v="0"/>
    <x v="0"/>
    <x v="1"/>
    <x v="8"/>
  </r>
  <r>
    <x v="343"/>
    <x v="1"/>
    <x v="0"/>
    <x v="4"/>
    <x v="7"/>
    <x v="6"/>
    <x v="3"/>
    <x v="0"/>
    <x v="1"/>
    <x v="3"/>
    <x v="6"/>
    <x v="0"/>
    <x v="0"/>
    <x v="8"/>
    <x v="1"/>
    <x v="3"/>
    <x v="6"/>
    <x v="1"/>
  </r>
  <r>
    <x v="344"/>
    <x v="3"/>
    <x v="0"/>
    <x v="1"/>
    <x v="1"/>
    <x v="17"/>
    <x v="19"/>
    <x v="0"/>
    <x v="1"/>
    <x v="4"/>
    <x v="6"/>
    <x v="0"/>
    <x v="0"/>
    <x v="15"/>
    <x v="1"/>
    <x v="4"/>
    <x v="6"/>
    <x v="9"/>
  </r>
  <r>
    <x v="345"/>
    <x v="3"/>
    <x v="0"/>
    <x v="1"/>
    <x v="24"/>
    <x v="3"/>
    <x v="15"/>
    <x v="0"/>
    <x v="5"/>
    <x v="1"/>
    <x v="4"/>
    <x v="0"/>
    <x v="0"/>
    <x v="31"/>
    <x v="5"/>
    <x v="1"/>
    <x v="4"/>
    <x v="5"/>
  </r>
  <r>
    <x v="346"/>
    <x v="2"/>
    <x v="0"/>
    <x v="26"/>
    <x v="9"/>
    <x v="27"/>
    <x v="21"/>
    <x v="0"/>
    <x v="4"/>
    <x v="4"/>
    <x v="6"/>
    <x v="0"/>
    <x v="0"/>
    <x v="42"/>
    <x v="4"/>
    <x v="4"/>
    <x v="6"/>
    <x v="8"/>
  </r>
  <r>
    <x v="347"/>
    <x v="3"/>
    <x v="2"/>
    <x v="7"/>
    <x v="15"/>
    <x v="5"/>
    <x v="6"/>
    <x v="0"/>
    <x v="1"/>
    <x v="4"/>
    <x v="1"/>
    <x v="0"/>
    <x v="0"/>
    <x v="22"/>
    <x v="1"/>
    <x v="4"/>
    <x v="1"/>
    <x v="1"/>
  </r>
  <r>
    <x v="348"/>
    <x v="2"/>
    <x v="0"/>
    <x v="3"/>
    <x v="23"/>
    <x v="10"/>
    <x v="23"/>
    <x v="0"/>
    <x v="3"/>
    <x v="0"/>
    <x v="1"/>
    <x v="0"/>
    <x v="0"/>
    <x v="31"/>
    <x v="3"/>
    <x v="0"/>
    <x v="1"/>
    <x v="8"/>
  </r>
  <r>
    <x v="349"/>
    <x v="1"/>
    <x v="0"/>
    <x v="14"/>
    <x v="17"/>
    <x v="14"/>
    <x v="6"/>
    <x v="0"/>
    <x v="5"/>
    <x v="4"/>
    <x v="3"/>
    <x v="0"/>
    <x v="0"/>
    <x v="37"/>
    <x v="5"/>
    <x v="4"/>
    <x v="3"/>
    <x v="5"/>
  </r>
  <r>
    <x v="350"/>
    <x v="1"/>
    <x v="0"/>
    <x v="1"/>
    <x v="19"/>
    <x v="20"/>
    <x v="27"/>
    <x v="0"/>
    <x v="4"/>
    <x v="3"/>
    <x v="4"/>
    <x v="1"/>
    <x v="1"/>
    <x v="2"/>
    <x v="4"/>
    <x v="3"/>
    <x v="4"/>
    <x v="2"/>
  </r>
  <r>
    <x v="351"/>
    <x v="0"/>
    <x v="0"/>
    <x v="4"/>
    <x v="7"/>
    <x v="3"/>
    <x v="1"/>
    <x v="0"/>
    <x v="1"/>
    <x v="0"/>
    <x v="0"/>
    <x v="1"/>
    <x v="3"/>
    <x v="2"/>
    <x v="1"/>
    <x v="0"/>
    <x v="0"/>
    <x v="2"/>
  </r>
  <r>
    <x v="352"/>
    <x v="1"/>
    <x v="0"/>
    <x v="12"/>
    <x v="25"/>
    <x v="8"/>
    <x v="35"/>
    <x v="0"/>
    <x v="1"/>
    <x v="5"/>
    <x v="1"/>
    <x v="0"/>
    <x v="0"/>
    <x v="23"/>
    <x v="1"/>
    <x v="5"/>
    <x v="1"/>
    <x v="7"/>
  </r>
  <r>
    <x v="353"/>
    <x v="3"/>
    <x v="1"/>
    <x v="6"/>
    <x v="2"/>
    <x v="2"/>
    <x v="2"/>
    <x v="1"/>
    <x v="2"/>
    <x v="2"/>
    <x v="2"/>
    <x v="1"/>
    <x v="2"/>
    <x v="2"/>
    <x v="2"/>
    <x v="2"/>
    <x v="2"/>
    <x v="2"/>
  </r>
  <r>
    <x v="354"/>
    <x v="1"/>
    <x v="2"/>
    <x v="29"/>
    <x v="1"/>
    <x v="20"/>
    <x v="22"/>
    <x v="0"/>
    <x v="0"/>
    <x v="5"/>
    <x v="6"/>
    <x v="0"/>
    <x v="0"/>
    <x v="42"/>
    <x v="0"/>
    <x v="5"/>
    <x v="6"/>
    <x v="0"/>
  </r>
  <r>
    <x v="355"/>
    <x v="2"/>
    <x v="0"/>
    <x v="26"/>
    <x v="9"/>
    <x v="8"/>
    <x v="35"/>
    <x v="0"/>
    <x v="4"/>
    <x v="0"/>
    <x v="1"/>
    <x v="0"/>
    <x v="0"/>
    <x v="23"/>
    <x v="4"/>
    <x v="0"/>
    <x v="1"/>
    <x v="9"/>
  </r>
  <r>
    <x v="356"/>
    <x v="1"/>
    <x v="0"/>
    <x v="8"/>
    <x v="32"/>
    <x v="33"/>
    <x v="20"/>
    <x v="0"/>
    <x v="5"/>
    <x v="3"/>
    <x v="1"/>
    <x v="0"/>
    <x v="0"/>
    <x v="48"/>
    <x v="5"/>
    <x v="3"/>
    <x v="1"/>
    <x v="4"/>
  </r>
  <r>
    <x v="357"/>
    <x v="0"/>
    <x v="0"/>
    <x v="27"/>
    <x v="1"/>
    <x v="11"/>
    <x v="12"/>
    <x v="0"/>
    <x v="3"/>
    <x v="0"/>
    <x v="3"/>
    <x v="0"/>
    <x v="0"/>
    <x v="5"/>
    <x v="3"/>
    <x v="0"/>
    <x v="3"/>
    <x v="9"/>
  </r>
  <r>
    <x v="358"/>
    <x v="1"/>
    <x v="1"/>
    <x v="5"/>
    <x v="2"/>
    <x v="2"/>
    <x v="2"/>
    <x v="1"/>
    <x v="2"/>
    <x v="2"/>
    <x v="2"/>
    <x v="1"/>
    <x v="1"/>
    <x v="2"/>
    <x v="2"/>
    <x v="2"/>
    <x v="2"/>
    <x v="2"/>
  </r>
  <r>
    <x v="359"/>
    <x v="2"/>
    <x v="2"/>
    <x v="22"/>
    <x v="28"/>
    <x v="12"/>
    <x v="13"/>
    <x v="0"/>
    <x v="1"/>
    <x v="0"/>
    <x v="0"/>
    <x v="0"/>
    <x v="0"/>
    <x v="30"/>
    <x v="1"/>
    <x v="0"/>
    <x v="0"/>
    <x v="7"/>
  </r>
  <r>
    <x v="360"/>
    <x v="2"/>
    <x v="0"/>
    <x v="21"/>
    <x v="18"/>
    <x v="18"/>
    <x v="0"/>
    <x v="0"/>
    <x v="5"/>
    <x v="0"/>
    <x v="1"/>
    <x v="0"/>
    <x v="0"/>
    <x v="21"/>
    <x v="5"/>
    <x v="0"/>
    <x v="1"/>
    <x v="1"/>
  </r>
  <r>
    <x v="361"/>
    <x v="3"/>
    <x v="0"/>
    <x v="30"/>
    <x v="13"/>
    <x v="13"/>
    <x v="28"/>
    <x v="0"/>
    <x v="0"/>
    <x v="0"/>
    <x v="4"/>
    <x v="0"/>
    <x v="0"/>
    <x v="4"/>
    <x v="0"/>
    <x v="0"/>
    <x v="4"/>
    <x v="6"/>
  </r>
  <r>
    <x v="362"/>
    <x v="1"/>
    <x v="0"/>
    <x v="11"/>
    <x v="3"/>
    <x v="1"/>
    <x v="1"/>
    <x v="0"/>
    <x v="1"/>
    <x v="4"/>
    <x v="1"/>
    <x v="0"/>
    <x v="0"/>
    <x v="4"/>
    <x v="1"/>
    <x v="4"/>
    <x v="1"/>
    <x v="10"/>
  </r>
  <r>
    <x v="363"/>
    <x v="2"/>
    <x v="0"/>
    <x v="25"/>
    <x v="6"/>
    <x v="13"/>
    <x v="28"/>
    <x v="0"/>
    <x v="4"/>
    <x v="1"/>
    <x v="4"/>
    <x v="0"/>
    <x v="0"/>
    <x v="5"/>
    <x v="4"/>
    <x v="1"/>
    <x v="4"/>
    <x v="8"/>
  </r>
  <r>
    <x v="364"/>
    <x v="0"/>
    <x v="0"/>
    <x v="1"/>
    <x v="24"/>
    <x v="11"/>
    <x v="22"/>
    <x v="0"/>
    <x v="5"/>
    <x v="5"/>
    <x v="4"/>
    <x v="0"/>
    <x v="0"/>
    <x v="14"/>
    <x v="5"/>
    <x v="5"/>
    <x v="4"/>
    <x v="7"/>
  </r>
  <r>
    <x v="365"/>
    <x v="3"/>
    <x v="0"/>
    <x v="17"/>
    <x v="21"/>
    <x v="21"/>
    <x v="14"/>
    <x v="0"/>
    <x v="3"/>
    <x v="3"/>
    <x v="3"/>
    <x v="0"/>
    <x v="0"/>
    <x v="11"/>
    <x v="3"/>
    <x v="3"/>
    <x v="3"/>
    <x v="4"/>
  </r>
  <r>
    <x v="366"/>
    <x v="0"/>
    <x v="0"/>
    <x v="1"/>
    <x v="14"/>
    <x v="20"/>
    <x v="12"/>
    <x v="0"/>
    <x v="0"/>
    <x v="4"/>
    <x v="0"/>
    <x v="0"/>
    <x v="0"/>
    <x v="19"/>
    <x v="0"/>
    <x v="4"/>
    <x v="0"/>
    <x v="9"/>
  </r>
  <r>
    <x v="367"/>
    <x v="1"/>
    <x v="2"/>
    <x v="7"/>
    <x v="27"/>
    <x v="30"/>
    <x v="39"/>
    <x v="0"/>
    <x v="5"/>
    <x v="5"/>
    <x v="4"/>
    <x v="1"/>
    <x v="2"/>
    <x v="2"/>
    <x v="5"/>
    <x v="5"/>
    <x v="4"/>
    <x v="2"/>
  </r>
  <r>
    <x v="368"/>
    <x v="1"/>
    <x v="0"/>
    <x v="22"/>
    <x v="28"/>
    <x v="10"/>
    <x v="18"/>
    <x v="0"/>
    <x v="1"/>
    <x v="1"/>
    <x v="3"/>
    <x v="0"/>
    <x v="0"/>
    <x v="10"/>
    <x v="1"/>
    <x v="1"/>
    <x v="3"/>
    <x v="4"/>
  </r>
  <r>
    <x v="369"/>
    <x v="1"/>
    <x v="2"/>
    <x v="27"/>
    <x v="1"/>
    <x v="11"/>
    <x v="3"/>
    <x v="0"/>
    <x v="3"/>
    <x v="0"/>
    <x v="5"/>
    <x v="0"/>
    <x v="0"/>
    <x v="42"/>
    <x v="3"/>
    <x v="0"/>
    <x v="5"/>
    <x v="8"/>
  </r>
  <r>
    <x v="370"/>
    <x v="3"/>
    <x v="0"/>
    <x v="3"/>
    <x v="4"/>
    <x v="7"/>
    <x v="11"/>
    <x v="0"/>
    <x v="1"/>
    <x v="1"/>
    <x v="3"/>
    <x v="0"/>
    <x v="0"/>
    <x v="1"/>
    <x v="1"/>
    <x v="1"/>
    <x v="3"/>
    <x v="11"/>
  </r>
  <r>
    <x v="371"/>
    <x v="2"/>
    <x v="0"/>
    <x v="16"/>
    <x v="5"/>
    <x v="24"/>
    <x v="5"/>
    <x v="0"/>
    <x v="1"/>
    <x v="5"/>
    <x v="5"/>
    <x v="0"/>
    <x v="0"/>
    <x v="11"/>
    <x v="1"/>
    <x v="5"/>
    <x v="5"/>
    <x v="10"/>
  </r>
  <r>
    <x v="372"/>
    <x v="3"/>
    <x v="0"/>
    <x v="5"/>
    <x v="23"/>
    <x v="31"/>
    <x v="4"/>
    <x v="0"/>
    <x v="4"/>
    <x v="5"/>
    <x v="1"/>
    <x v="0"/>
    <x v="0"/>
    <x v="16"/>
    <x v="4"/>
    <x v="5"/>
    <x v="1"/>
    <x v="7"/>
  </r>
  <r>
    <x v="373"/>
    <x v="0"/>
    <x v="0"/>
    <x v="2"/>
    <x v="33"/>
    <x v="34"/>
    <x v="36"/>
    <x v="0"/>
    <x v="4"/>
    <x v="4"/>
    <x v="0"/>
    <x v="0"/>
    <x v="0"/>
    <x v="18"/>
    <x v="4"/>
    <x v="4"/>
    <x v="0"/>
    <x v="0"/>
  </r>
  <r>
    <x v="374"/>
    <x v="3"/>
    <x v="2"/>
    <x v="26"/>
    <x v="0"/>
    <x v="26"/>
    <x v="5"/>
    <x v="0"/>
    <x v="1"/>
    <x v="4"/>
    <x v="4"/>
    <x v="0"/>
    <x v="0"/>
    <x v="49"/>
    <x v="1"/>
    <x v="4"/>
    <x v="4"/>
    <x v="3"/>
  </r>
  <r>
    <x v="375"/>
    <x v="0"/>
    <x v="0"/>
    <x v="3"/>
    <x v="10"/>
    <x v="4"/>
    <x v="13"/>
    <x v="0"/>
    <x v="0"/>
    <x v="3"/>
    <x v="4"/>
    <x v="1"/>
    <x v="3"/>
    <x v="2"/>
    <x v="0"/>
    <x v="3"/>
    <x v="4"/>
    <x v="2"/>
  </r>
  <r>
    <x v="376"/>
    <x v="3"/>
    <x v="0"/>
    <x v="21"/>
    <x v="5"/>
    <x v="28"/>
    <x v="24"/>
    <x v="0"/>
    <x v="4"/>
    <x v="0"/>
    <x v="1"/>
    <x v="0"/>
    <x v="0"/>
    <x v="19"/>
    <x v="4"/>
    <x v="0"/>
    <x v="1"/>
    <x v="9"/>
  </r>
  <r>
    <x v="377"/>
    <x v="2"/>
    <x v="0"/>
    <x v="11"/>
    <x v="7"/>
    <x v="24"/>
    <x v="1"/>
    <x v="0"/>
    <x v="4"/>
    <x v="1"/>
    <x v="6"/>
    <x v="0"/>
    <x v="0"/>
    <x v="32"/>
    <x v="4"/>
    <x v="1"/>
    <x v="6"/>
    <x v="3"/>
  </r>
  <r>
    <x v="378"/>
    <x v="0"/>
    <x v="1"/>
    <x v="4"/>
    <x v="2"/>
    <x v="2"/>
    <x v="2"/>
    <x v="1"/>
    <x v="2"/>
    <x v="2"/>
    <x v="2"/>
    <x v="1"/>
    <x v="4"/>
    <x v="2"/>
    <x v="2"/>
    <x v="2"/>
    <x v="2"/>
    <x v="2"/>
  </r>
  <r>
    <x v="379"/>
    <x v="1"/>
    <x v="2"/>
    <x v="30"/>
    <x v="26"/>
    <x v="5"/>
    <x v="31"/>
    <x v="0"/>
    <x v="4"/>
    <x v="0"/>
    <x v="4"/>
    <x v="0"/>
    <x v="0"/>
    <x v="26"/>
    <x v="4"/>
    <x v="0"/>
    <x v="4"/>
    <x v="4"/>
  </r>
  <r>
    <x v="380"/>
    <x v="1"/>
    <x v="0"/>
    <x v="28"/>
    <x v="27"/>
    <x v="23"/>
    <x v="19"/>
    <x v="0"/>
    <x v="4"/>
    <x v="1"/>
    <x v="0"/>
    <x v="0"/>
    <x v="0"/>
    <x v="33"/>
    <x v="4"/>
    <x v="1"/>
    <x v="0"/>
    <x v="10"/>
  </r>
  <r>
    <x v="381"/>
    <x v="3"/>
    <x v="0"/>
    <x v="16"/>
    <x v="3"/>
    <x v="24"/>
    <x v="21"/>
    <x v="0"/>
    <x v="3"/>
    <x v="0"/>
    <x v="1"/>
    <x v="0"/>
    <x v="0"/>
    <x v="14"/>
    <x v="3"/>
    <x v="0"/>
    <x v="1"/>
    <x v="1"/>
  </r>
  <r>
    <x v="382"/>
    <x v="1"/>
    <x v="0"/>
    <x v="9"/>
    <x v="14"/>
    <x v="25"/>
    <x v="22"/>
    <x v="0"/>
    <x v="1"/>
    <x v="5"/>
    <x v="3"/>
    <x v="0"/>
    <x v="0"/>
    <x v="42"/>
    <x v="1"/>
    <x v="5"/>
    <x v="3"/>
    <x v="8"/>
  </r>
  <r>
    <x v="383"/>
    <x v="0"/>
    <x v="2"/>
    <x v="18"/>
    <x v="16"/>
    <x v="16"/>
    <x v="5"/>
    <x v="0"/>
    <x v="3"/>
    <x v="5"/>
    <x v="0"/>
    <x v="0"/>
    <x v="0"/>
    <x v="10"/>
    <x v="3"/>
    <x v="5"/>
    <x v="0"/>
    <x v="3"/>
  </r>
  <r>
    <x v="384"/>
    <x v="1"/>
    <x v="2"/>
    <x v="22"/>
    <x v="11"/>
    <x v="22"/>
    <x v="18"/>
    <x v="0"/>
    <x v="5"/>
    <x v="0"/>
    <x v="4"/>
    <x v="1"/>
    <x v="2"/>
    <x v="2"/>
    <x v="5"/>
    <x v="0"/>
    <x v="4"/>
    <x v="2"/>
  </r>
  <r>
    <x v="385"/>
    <x v="2"/>
    <x v="1"/>
    <x v="6"/>
    <x v="2"/>
    <x v="2"/>
    <x v="2"/>
    <x v="1"/>
    <x v="2"/>
    <x v="2"/>
    <x v="2"/>
    <x v="1"/>
    <x v="5"/>
    <x v="2"/>
    <x v="2"/>
    <x v="2"/>
    <x v="2"/>
    <x v="2"/>
  </r>
  <r>
    <x v="386"/>
    <x v="2"/>
    <x v="0"/>
    <x v="0"/>
    <x v="25"/>
    <x v="0"/>
    <x v="17"/>
    <x v="0"/>
    <x v="5"/>
    <x v="3"/>
    <x v="3"/>
    <x v="0"/>
    <x v="0"/>
    <x v="30"/>
    <x v="5"/>
    <x v="3"/>
    <x v="3"/>
    <x v="7"/>
  </r>
  <r>
    <x v="387"/>
    <x v="3"/>
    <x v="0"/>
    <x v="11"/>
    <x v="5"/>
    <x v="24"/>
    <x v="33"/>
    <x v="0"/>
    <x v="5"/>
    <x v="5"/>
    <x v="0"/>
    <x v="1"/>
    <x v="5"/>
    <x v="2"/>
    <x v="5"/>
    <x v="5"/>
    <x v="0"/>
    <x v="2"/>
  </r>
  <r>
    <x v="388"/>
    <x v="0"/>
    <x v="0"/>
    <x v="22"/>
    <x v="25"/>
    <x v="0"/>
    <x v="24"/>
    <x v="0"/>
    <x v="3"/>
    <x v="3"/>
    <x v="4"/>
    <x v="0"/>
    <x v="0"/>
    <x v="10"/>
    <x v="3"/>
    <x v="3"/>
    <x v="4"/>
    <x v="9"/>
  </r>
  <r>
    <x v="389"/>
    <x v="2"/>
    <x v="0"/>
    <x v="30"/>
    <x v="6"/>
    <x v="36"/>
    <x v="25"/>
    <x v="0"/>
    <x v="1"/>
    <x v="5"/>
    <x v="1"/>
    <x v="0"/>
    <x v="0"/>
    <x v="4"/>
    <x v="1"/>
    <x v="5"/>
    <x v="1"/>
    <x v="5"/>
  </r>
  <r>
    <x v="390"/>
    <x v="2"/>
    <x v="2"/>
    <x v="28"/>
    <x v="20"/>
    <x v="21"/>
    <x v="6"/>
    <x v="0"/>
    <x v="5"/>
    <x v="4"/>
    <x v="4"/>
    <x v="0"/>
    <x v="0"/>
    <x v="25"/>
    <x v="5"/>
    <x v="4"/>
    <x v="4"/>
    <x v="10"/>
  </r>
  <r>
    <x v="391"/>
    <x v="0"/>
    <x v="0"/>
    <x v="17"/>
    <x v="17"/>
    <x v="14"/>
    <x v="25"/>
    <x v="0"/>
    <x v="4"/>
    <x v="4"/>
    <x v="4"/>
    <x v="0"/>
    <x v="0"/>
    <x v="32"/>
    <x v="4"/>
    <x v="4"/>
    <x v="4"/>
    <x v="8"/>
  </r>
  <r>
    <x v="392"/>
    <x v="1"/>
    <x v="0"/>
    <x v="21"/>
    <x v="18"/>
    <x v="18"/>
    <x v="24"/>
    <x v="0"/>
    <x v="5"/>
    <x v="0"/>
    <x v="6"/>
    <x v="0"/>
    <x v="0"/>
    <x v="0"/>
    <x v="5"/>
    <x v="0"/>
    <x v="6"/>
    <x v="5"/>
  </r>
  <r>
    <x v="393"/>
    <x v="1"/>
    <x v="1"/>
    <x v="13"/>
    <x v="2"/>
    <x v="2"/>
    <x v="2"/>
    <x v="1"/>
    <x v="2"/>
    <x v="2"/>
    <x v="2"/>
    <x v="1"/>
    <x v="1"/>
    <x v="2"/>
    <x v="2"/>
    <x v="2"/>
    <x v="2"/>
    <x v="2"/>
  </r>
  <r>
    <x v="394"/>
    <x v="3"/>
    <x v="2"/>
    <x v="20"/>
    <x v="35"/>
    <x v="33"/>
    <x v="40"/>
    <x v="0"/>
    <x v="0"/>
    <x v="1"/>
    <x v="6"/>
    <x v="0"/>
    <x v="0"/>
    <x v="50"/>
    <x v="0"/>
    <x v="1"/>
    <x v="6"/>
    <x v="0"/>
  </r>
  <r>
    <x v="395"/>
    <x v="1"/>
    <x v="0"/>
    <x v="29"/>
    <x v="20"/>
    <x v="21"/>
    <x v="16"/>
    <x v="0"/>
    <x v="4"/>
    <x v="4"/>
    <x v="6"/>
    <x v="0"/>
    <x v="0"/>
    <x v="11"/>
    <x v="4"/>
    <x v="4"/>
    <x v="6"/>
    <x v="1"/>
  </r>
  <r>
    <x v="396"/>
    <x v="0"/>
    <x v="0"/>
    <x v="11"/>
    <x v="7"/>
    <x v="1"/>
    <x v="32"/>
    <x v="0"/>
    <x v="4"/>
    <x v="5"/>
    <x v="3"/>
    <x v="0"/>
    <x v="0"/>
    <x v="15"/>
    <x v="4"/>
    <x v="5"/>
    <x v="3"/>
    <x v="5"/>
  </r>
  <r>
    <x v="397"/>
    <x v="2"/>
    <x v="0"/>
    <x v="10"/>
    <x v="4"/>
    <x v="10"/>
    <x v="4"/>
    <x v="0"/>
    <x v="4"/>
    <x v="5"/>
    <x v="0"/>
    <x v="0"/>
    <x v="0"/>
    <x v="1"/>
    <x v="4"/>
    <x v="5"/>
    <x v="0"/>
    <x v="0"/>
  </r>
  <r>
    <x v="398"/>
    <x v="1"/>
    <x v="0"/>
    <x v="12"/>
    <x v="28"/>
    <x v="0"/>
    <x v="17"/>
    <x v="0"/>
    <x v="5"/>
    <x v="4"/>
    <x v="3"/>
    <x v="0"/>
    <x v="0"/>
    <x v="12"/>
    <x v="5"/>
    <x v="4"/>
    <x v="3"/>
    <x v="5"/>
  </r>
  <r>
    <x v="399"/>
    <x v="3"/>
    <x v="0"/>
    <x v="6"/>
    <x v="3"/>
    <x v="1"/>
    <x v="1"/>
    <x v="0"/>
    <x v="4"/>
    <x v="4"/>
    <x v="1"/>
    <x v="0"/>
    <x v="0"/>
    <x v="14"/>
    <x v="4"/>
    <x v="4"/>
    <x v="1"/>
    <x v="11"/>
  </r>
  <r>
    <x v="400"/>
    <x v="1"/>
    <x v="0"/>
    <x v="7"/>
    <x v="30"/>
    <x v="21"/>
    <x v="22"/>
    <x v="0"/>
    <x v="0"/>
    <x v="1"/>
    <x v="1"/>
    <x v="0"/>
    <x v="0"/>
    <x v="39"/>
    <x v="0"/>
    <x v="1"/>
    <x v="1"/>
    <x v="10"/>
  </r>
  <r>
    <x v="401"/>
    <x v="0"/>
    <x v="0"/>
    <x v="2"/>
    <x v="29"/>
    <x v="35"/>
    <x v="42"/>
    <x v="0"/>
    <x v="3"/>
    <x v="4"/>
    <x v="3"/>
    <x v="0"/>
    <x v="0"/>
    <x v="22"/>
    <x v="3"/>
    <x v="4"/>
    <x v="3"/>
    <x v="1"/>
  </r>
  <r>
    <x v="402"/>
    <x v="3"/>
    <x v="0"/>
    <x v="0"/>
    <x v="0"/>
    <x v="0"/>
    <x v="24"/>
    <x v="0"/>
    <x v="0"/>
    <x v="0"/>
    <x v="4"/>
    <x v="0"/>
    <x v="0"/>
    <x v="21"/>
    <x v="0"/>
    <x v="0"/>
    <x v="4"/>
    <x v="11"/>
  </r>
  <r>
    <x v="403"/>
    <x v="1"/>
    <x v="1"/>
    <x v="18"/>
    <x v="2"/>
    <x v="2"/>
    <x v="2"/>
    <x v="1"/>
    <x v="2"/>
    <x v="2"/>
    <x v="2"/>
    <x v="1"/>
    <x v="3"/>
    <x v="2"/>
    <x v="2"/>
    <x v="2"/>
    <x v="2"/>
    <x v="2"/>
  </r>
  <r>
    <x v="404"/>
    <x v="3"/>
    <x v="0"/>
    <x v="19"/>
    <x v="23"/>
    <x v="22"/>
    <x v="23"/>
    <x v="0"/>
    <x v="1"/>
    <x v="1"/>
    <x v="5"/>
    <x v="1"/>
    <x v="1"/>
    <x v="2"/>
    <x v="1"/>
    <x v="1"/>
    <x v="5"/>
    <x v="2"/>
  </r>
  <r>
    <x v="405"/>
    <x v="0"/>
    <x v="0"/>
    <x v="24"/>
    <x v="21"/>
    <x v="30"/>
    <x v="16"/>
    <x v="0"/>
    <x v="4"/>
    <x v="4"/>
    <x v="5"/>
    <x v="0"/>
    <x v="0"/>
    <x v="32"/>
    <x v="4"/>
    <x v="4"/>
    <x v="5"/>
    <x v="11"/>
  </r>
  <r>
    <x v="406"/>
    <x v="2"/>
    <x v="2"/>
    <x v="12"/>
    <x v="12"/>
    <x v="0"/>
    <x v="24"/>
    <x v="0"/>
    <x v="0"/>
    <x v="5"/>
    <x v="4"/>
    <x v="0"/>
    <x v="0"/>
    <x v="11"/>
    <x v="0"/>
    <x v="5"/>
    <x v="4"/>
    <x v="11"/>
  </r>
  <r>
    <x v="407"/>
    <x v="0"/>
    <x v="1"/>
    <x v="14"/>
    <x v="2"/>
    <x v="2"/>
    <x v="2"/>
    <x v="1"/>
    <x v="2"/>
    <x v="2"/>
    <x v="2"/>
    <x v="1"/>
    <x v="1"/>
    <x v="2"/>
    <x v="2"/>
    <x v="2"/>
    <x v="2"/>
    <x v="2"/>
  </r>
  <r>
    <x v="408"/>
    <x v="0"/>
    <x v="2"/>
    <x v="29"/>
    <x v="14"/>
    <x v="20"/>
    <x v="32"/>
    <x v="0"/>
    <x v="5"/>
    <x v="4"/>
    <x v="5"/>
    <x v="1"/>
    <x v="1"/>
    <x v="2"/>
    <x v="5"/>
    <x v="4"/>
    <x v="5"/>
    <x v="2"/>
  </r>
  <r>
    <x v="409"/>
    <x v="0"/>
    <x v="2"/>
    <x v="21"/>
    <x v="16"/>
    <x v="27"/>
    <x v="17"/>
    <x v="0"/>
    <x v="1"/>
    <x v="0"/>
    <x v="1"/>
    <x v="0"/>
    <x v="0"/>
    <x v="8"/>
    <x v="1"/>
    <x v="0"/>
    <x v="1"/>
    <x v="10"/>
  </r>
  <r>
    <x v="410"/>
    <x v="0"/>
    <x v="2"/>
    <x v="2"/>
    <x v="6"/>
    <x v="37"/>
    <x v="28"/>
    <x v="0"/>
    <x v="0"/>
    <x v="0"/>
    <x v="3"/>
    <x v="0"/>
    <x v="0"/>
    <x v="33"/>
    <x v="0"/>
    <x v="0"/>
    <x v="3"/>
    <x v="10"/>
  </r>
  <r>
    <x v="411"/>
    <x v="2"/>
    <x v="0"/>
    <x v="21"/>
    <x v="5"/>
    <x v="24"/>
    <x v="33"/>
    <x v="0"/>
    <x v="4"/>
    <x v="5"/>
    <x v="0"/>
    <x v="0"/>
    <x v="0"/>
    <x v="19"/>
    <x v="4"/>
    <x v="5"/>
    <x v="0"/>
    <x v="4"/>
  </r>
  <r>
    <x v="412"/>
    <x v="2"/>
    <x v="2"/>
    <x v="4"/>
    <x v="22"/>
    <x v="28"/>
    <x v="5"/>
    <x v="0"/>
    <x v="5"/>
    <x v="1"/>
    <x v="6"/>
    <x v="0"/>
    <x v="0"/>
    <x v="32"/>
    <x v="5"/>
    <x v="1"/>
    <x v="6"/>
    <x v="11"/>
  </r>
  <r>
    <x v="413"/>
    <x v="3"/>
    <x v="2"/>
    <x v="25"/>
    <x v="6"/>
    <x v="36"/>
    <x v="25"/>
    <x v="0"/>
    <x v="4"/>
    <x v="5"/>
    <x v="1"/>
    <x v="0"/>
    <x v="0"/>
    <x v="32"/>
    <x v="4"/>
    <x v="5"/>
    <x v="1"/>
    <x v="9"/>
  </r>
  <r>
    <x v="414"/>
    <x v="1"/>
    <x v="2"/>
    <x v="24"/>
    <x v="17"/>
    <x v="14"/>
    <x v="6"/>
    <x v="0"/>
    <x v="1"/>
    <x v="4"/>
    <x v="3"/>
    <x v="1"/>
    <x v="5"/>
    <x v="2"/>
    <x v="1"/>
    <x v="4"/>
    <x v="3"/>
    <x v="2"/>
  </r>
  <r>
    <x v="415"/>
    <x v="2"/>
    <x v="2"/>
    <x v="5"/>
    <x v="4"/>
    <x v="10"/>
    <x v="23"/>
    <x v="0"/>
    <x v="0"/>
    <x v="5"/>
    <x v="1"/>
    <x v="0"/>
    <x v="0"/>
    <x v="43"/>
    <x v="0"/>
    <x v="5"/>
    <x v="1"/>
    <x v="6"/>
  </r>
  <r>
    <x v="416"/>
    <x v="2"/>
    <x v="0"/>
    <x v="20"/>
    <x v="10"/>
    <x v="9"/>
    <x v="10"/>
    <x v="0"/>
    <x v="4"/>
    <x v="1"/>
    <x v="1"/>
    <x v="0"/>
    <x v="0"/>
    <x v="13"/>
    <x v="4"/>
    <x v="1"/>
    <x v="1"/>
    <x v="8"/>
  </r>
  <r>
    <x v="417"/>
    <x v="1"/>
    <x v="0"/>
    <x v="7"/>
    <x v="15"/>
    <x v="13"/>
    <x v="39"/>
    <x v="0"/>
    <x v="1"/>
    <x v="3"/>
    <x v="3"/>
    <x v="0"/>
    <x v="0"/>
    <x v="28"/>
    <x v="1"/>
    <x v="3"/>
    <x v="3"/>
    <x v="4"/>
  </r>
  <r>
    <x v="418"/>
    <x v="2"/>
    <x v="0"/>
    <x v="11"/>
    <x v="5"/>
    <x v="24"/>
    <x v="33"/>
    <x v="0"/>
    <x v="5"/>
    <x v="5"/>
    <x v="0"/>
    <x v="0"/>
    <x v="0"/>
    <x v="42"/>
    <x v="5"/>
    <x v="5"/>
    <x v="0"/>
    <x v="3"/>
  </r>
  <r>
    <x v="419"/>
    <x v="0"/>
    <x v="0"/>
    <x v="8"/>
    <x v="8"/>
    <x v="19"/>
    <x v="20"/>
    <x v="0"/>
    <x v="0"/>
    <x v="1"/>
    <x v="5"/>
    <x v="0"/>
    <x v="0"/>
    <x v="13"/>
    <x v="0"/>
    <x v="1"/>
    <x v="5"/>
    <x v="7"/>
  </r>
  <r>
    <x v="420"/>
    <x v="0"/>
    <x v="0"/>
    <x v="7"/>
    <x v="30"/>
    <x v="30"/>
    <x v="27"/>
    <x v="0"/>
    <x v="0"/>
    <x v="3"/>
    <x v="1"/>
    <x v="0"/>
    <x v="0"/>
    <x v="18"/>
    <x v="0"/>
    <x v="3"/>
    <x v="1"/>
    <x v="10"/>
  </r>
  <r>
    <x v="421"/>
    <x v="1"/>
    <x v="2"/>
    <x v="0"/>
    <x v="9"/>
    <x v="0"/>
    <x v="0"/>
    <x v="0"/>
    <x v="1"/>
    <x v="1"/>
    <x v="0"/>
    <x v="0"/>
    <x v="0"/>
    <x v="31"/>
    <x v="1"/>
    <x v="1"/>
    <x v="0"/>
    <x v="11"/>
  </r>
  <r>
    <x v="422"/>
    <x v="3"/>
    <x v="0"/>
    <x v="5"/>
    <x v="4"/>
    <x v="7"/>
    <x v="11"/>
    <x v="0"/>
    <x v="0"/>
    <x v="1"/>
    <x v="3"/>
    <x v="0"/>
    <x v="0"/>
    <x v="51"/>
    <x v="0"/>
    <x v="1"/>
    <x v="3"/>
    <x v="0"/>
  </r>
  <r>
    <x v="423"/>
    <x v="3"/>
    <x v="1"/>
    <x v="13"/>
    <x v="2"/>
    <x v="2"/>
    <x v="2"/>
    <x v="1"/>
    <x v="2"/>
    <x v="2"/>
    <x v="2"/>
    <x v="1"/>
    <x v="5"/>
    <x v="2"/>
    <x v="2"/>
    <x v="2"/>
    <x v="2"/>
    <x v="2"/>
  </r>
  <r>
    <x v="424"/>
    <x v="1"/>
    <x v="0"/>
    <x v="6"/>
    <x v="16"/>
    <x v="28"/>
    <x v="1"/>
    <x v="0"/>
    <x v="5"/>
    <x v="3"/>
    <x v="4"/>
    <x v="0"/>
    <x v="0"/>
    <x v="32"/>
    <x v="5"/>
    <x v="3"/>
    <x v="4"/>
    <x v="9"/>
  </r>
  <r>
    <x v="425"/>
    <x v="1"/>
    <x v="2"/>
    <x v="20"/>
    <x v="8"/>
    <x v="9"/>
    <x v="11"/>
    <x v="0"/>
    <x v="5"/>
    <x v="5"/>
    <x v="4"/>
    <x v="0"/>
    <x v="0"/>
    <x v="49"/>
    <x v="5"/>
    <x v="5"/>
    <x v="4"/>
    <x v="9"/>
  </r>
  <r>
    <x v="426"/>
    <x v="0"/>
    <x v="0"/>
    <x v="12"/>
    <x v="12"/>
    <x v="15"/>
    <x v="26"/>
    <x v="0"/>
    <x v="0"/>
    <x v="3"/>
    <x v="3"/>
    <x v="0"/>
    <x v="0"/>
    <x v="42"/>
    <x v="0"/>
    <x v="3"/>
    <x v="3"/>
    <x v="5"/>
  </r>
  <r>
    <x v="427"/>
    <x v="3"/>
    <x v="0"/>
    <x v="29"/>
    <x v="20"/>
    <x v="23"/>
    <x v="14"/>
    <x v="0"/>
    <x v="4"/>
    <x v="5"/>
    <x v="4"/>
    <x v="0"/>
    <x v="0"/>
    <x v="22"/>
    <x v="4"/>
    <x v="5"/>
    <x v="4"/>
    <x v="11"/>
  </r>
  <r>
    <x v="428"/>
    <x v="2"/>
    <x v="0"/>
    <x v="16"/>
    <x v="22"/>
    <x v="28"/>
    <x v="9"/>
    <x v="0"/>
    <x v="4"/>
    <x v="1"/>
    <x v="5"/>
    <x v="0"/>
    <x v="0"/>
    <x v="8"/>
    <x v="4"/>
    <x v="1"/>
    <x v="5"/>
    <x v="1"/>
  </r>
  <r>
    <x v="429"/>
    <x v="0"/>
    <x v="2"/>
    <x v="12"/>
    <x v="28"/>
    <x v="15"/>
    <x v="13"/>
    <x v="0"/>
    <x v="5"/>
    <x v="5"/>
    <x v="1"/>
    <x v="0"/>
    <x v="0"/>
    <x v="23"/>
    <x v="5"/>
    <x v="5"/>
    <x v="1"/>
    <x v="5"/>
  </r>
  <r>
    <x v="430"/>
    <x v="1"/>
    <x v="2"/>
    <x v="17"/>
    <x v="17"/>
    <x v="17"/>
    <x v="22"/>
    <x v="0"/>
    <x v="4"/>
    <x v="0"/>
    <x v="0"/>
    <x v="0"/>
    <x v="0"/>
    <x v="26"/>
    <x v="4"/>
    <x v="0"/>
    <x v="0"/>
    <x v="4"/>
  </r>
  <r>
    <x v="431"/>
    <x v="3"/>
    <x v="2"/>
    <x v="4"/>
    <x v="7"/>
    <x v="6"/>
    <x v="3"/>
    <x v="0"/>
    <x v="1"/>
    <x v="3"/>
    <x v="6"/>
    <x v="0"/>
    <x v="0"/>
    <x v="42"/>
    <x v="1"/>
    <x v="3"/>
    <x v="6"/>
    <x v="8"/>
  </r>
  <r>
    <x v="432"/>
    <x v="2"/>
    <x v="1"/>
    <x v="5"/>
    <x v="2"/>
    <x v="2"/>
    <x v="2"/>
    <x v="1"/>
    <x v="2"/>
    <x v="2"/>
    <x v="2"/>
    <x v="1"/>
    <x v="1"/>
    <x v="2"/>
    <x v="2"/>
    <x v="2"/>
    <x v="2"/>
    <x v="2"/>
  </r>
  <r>
    <x v="433"/>
    <x v="2"/>
    <x v="0"/>
    <x v="6"/>
    <x v="7"/>
    <x v="6"/>
    <x v="29"/>
    <x v="0"/>
    <x v="3"/>
    <x v="3"/>
    <x v="0"/>
    <x v="0"/>
    <x v="0"/>
    <x v="8"/>
    <x v="3"/>
    <x v="3"/>
    <x v="0"/>
    <x v="10"/>
  </r>
  <r>
    <x v="434"/>
    <x v="0"/>
    <x v="2"/>
    <x v="6"/>
    <x v="5"/>
    <x v="3"/>
    <x v="29"/>
    <x v="0"/>
    <x v="0"/>
    <x v="4"/>
    <x v="6"/>
    <x v="0"/>
    <x v="0"/>
    <x v="30"/>
    <x v="0"/>
    <x v="4"/>
    <x v="6"/>
    <x v="9"/>
  </r>
  <r>
    <x v="435"/>
    <x v="3"/>
    <x v="2"/>
    <x v="24"/>
    <x v="17"/>
    <x v="20"/>
    <x v="19"/>
    <x v="0"/>
    <x v="1"/>
    <x v="1"/>
    <x v="3"/>
    <x v="0"/>
    <x v="0"/>
    <x v="38"/>
    <x v="1"/>
    <x v="1"/>
    <x v="3"/>
    <x v="11"/>
  </r>
  <r>
    <x v="436"/>
    <x v="3"/>
    <x v="0"/>
    <x v="11"/>
    <x v="5"/>
    <x v="27"/>
    <x v="5"/>
    <x v="0"/>
    <x v="5"/>
    <x v="1"/>
    <x v="3"/>
    <x v="0"/>
    <x v="0"/>
    <x v="19"/>
    <x v="5"/>
    <x v="1"/>
    <x v="3"/>
    <x v="9"/>
  </r>
  <r>
    <x v="437"/>
    <x v="1"/>
    <x v="2"/>
    <x v="21"/>
    <x v="22"/>
    <x v="3"/>
    <x v="29"/>
    <x v="0"/>
    <x v="3"/>
    <x v="5"/>
    <x v="6"/>
    <x v="0"/>
    <x v="0"/>
    <x v="10"/>
    <x v="3"/>
    <x v="5"/>
    <x v="6"/>
    <x v="1"/>
  </r>
  <r>
    <x v="438"/>
    <x v="3"/>
    <x v="2"/>
    <x v="13"/>
    <x v="21"/>
    <x v="23"/>
    <x v="12"/>
    <x v="0"/>
    <x v="5"/>
    <x v="0"/>
    <x v="1"/>
    <x v="0"/>
    <x v="0"/>
    <x v="18"/>
    <x v="5"/>
    <x v="0"/>
    <x v="1"/>
    <x v="11"/>
  </r>
  <r>
    <x v="439"/>
    <x v="3"/>
    <x v="1"/>
    <x v="27"/>
    <x v="2"/>
    <x v="2"/>
    <x v="2"/>
    <x v="1"/>
    <x v="2"/>
    <x v="2"/>
    <x v="2"/>
    <x v="1"/>
    <x v="5"/>
    <x v="2"/>
    <x v="2"/>
    <x v="2"/>
    <x v="2"/>
    <x v="2"/>
  </r>
  <r>
    <x v="440"/>
    <x v="0"/>
    <x v="2"/>
    <x v="28"/>
    <x v="30"/>
    <x v="21"/>
    <x v="6"/>
    <x v="0"/>
    <x v="3"/>
    <x v="1"/>
    <x v="4"/>
    <x v="0"/>
    <x v="0"/>
    <x v="26"/>
    <x v="3"/>
    <x v="1"/>
    <x v="4"/>
    <x v="10"/>
  </r>
  <r>
    <x v="441"/>
    <x v="3"/>
    <x v="0"/>
    <x v="20"/>
    <x v="34"/>
    <x v="9"/>
    <x v="23"/>
    <x v="0"/>
    <x v="1"/>
    <x v="0"/>
    <x v="3"/>
    <x v="0"/>
    <x v="0"/>
    <x v="13"/>
    <x v="1"/>
    <x v="0"/>
    <x v="3"/>
    <x v="1"/>
  </r>
  <r>
    <x v="442"/>
    <x v="2"/>
    <x v="1"/>
    <x v="18"/>
    <x v="2"/>
    <x v="2"/>
    <x v="2"/>
    <x v="1"/>
    <x v="2"/>
    <x v="2"/>
    <x v="2"/>
    <x v="1"/>
    <x v="3"/>
    <x v="2"/>
    <x v="2"/>
    <x v="2"/>
    <x v="2"/>
    <x v="2"/>
  </r>
  <r>
    <x v="443"/>
    <x v="0"/>
    <x v="0"/>
    <x v="16"/>
    <x v="3"/>
    <x v="1"/>
    <x v="29"/>
    <x v="0"/>
    <x v="3"/>
    <x v="4"/>
    <x v="5"/>
    <x v="0"/>
    <x v="0"/>
    <x v="24"/>
    <x v="3"/>
    <x v="4"/>
    <x v="5"/>
    <x v="5"/>
  </r>
  <r>
    <x v="444"/>
    <x v="0"/>
    <x v="2"/>
    <x v="15"/>
    <x v="25"/>
    <x v="0"/>
    <x v="35"/>
    <x v="0"/>
    <x v="4"/>
    <x v="3"/>
    <x v="5"/>
    <x v="1"/>
    <x v="1"/>
    <x v="2"/>
    <x v="4"/>
    <x v="3"/>
    <x v="5"/>
    <x v="2"/>
  </r>
  <r>
    <x v="445"/>
    <x v="1"/>
    <x v="2"/>
    <x v="10"/>
    <x v="10"/>
    <x v="7"/>
    <x v="37"/>
    <x v="0"/>
    <x v="1"/>
    <x v="0"/>
    <x v="5"/>
    <x v="0"/>
    <x v="0"/>
    <x v="44"/>
    <x v="1"/>
    <x v="0"/>
    <x v="5"/>
    <x v="9"/>
  </r>
  <r>
    <x v="446"/>
    <x v="3"/>
    <x v="1"/>
    <x v="13"/>
    <x v="2"/>
    <x v="2"/>
    <x v="2"/>
    <x v="1"/>
    <x v="2"/>
    <x v="2"/>
    <x v="2"/>
    <x v="1"/>
    <x v="5"/>
    <x v="2"/>
    <x v="2"/>
    <x v="2"/>
    <x v="2"/>
    <x v="2"/>
  </r>
  <r>
    <x v="447"/>
    <x v="1"/>
    <x v="1"/>
    <x v="3"/>
    <x v="2"/>
    <x v="2"/>
    <x v="2"/>
    <x v="1"/>
    <x v="2"/>
    <x v="2"/>
    <x v="2"/>
    <x v="1"/>
    <x v="2"/>
    <x v="2"/>
    <x v="2"/>
    <x v="2"/>
    <x v="2"/>
    <x v="2"/>
  </r>
  <r>
    <x v="448"/>
    <x v="2"/>
    <x v="0"/>
    <x v="25"/>
    <x v="15"/>
    <x v="14"/>
    <x v="19"/>
    <x v="0"/>
    <x v="0"/>
    <x v="1"/>
    <x v="1"/>
    <x v="0"/>
    <x v="0"/>
    <x v="34"/>
    <x v="0"/>
    <x v="1"/>
    <x v="1"/>
    <x v="9"/>
  </r>
  <r>
    <x v="449"/>
    <x v="0"/>
    <x v="2"/>
    <x v="17"/>
    <x v="1"/>
    <x v="25"/>
    <x v="15"/>
    <x v="0"/>
    <x v="5"/>
    <x v="3"/>
    <x v="5"/>
    <x v="0"/>
    <x v="0"/>
    <x v="10"/>
    <x v="5"/>
    <x v="3"/>
    <x v="5"/>
    <x v="9"/>
  </r>
  <r>
    <x v="450"/>
    <x v="0"/>
    <x v="0"/>
    <x v="22"/>
    <x v="12"/>
    <x v="31"/>
    <x v="35"/>
    <x v="0"/>
    <x v="4"/>
    <x v="0"/>
    <x v="6"/>
    <x v="0"/>
    <x v="0"/>
    <x v="12"/>
    <x v="4"/>
    <x v="0"/>
    <x v="6"/>
    <x v="6"/>
  </r>
  <r>
    <x v="451"/>
    <x v="0"/>
    <x v="1"/>
    <x v="19"/>
    <x v="2"/>
    <x v="2"/>
    <x v="2"/>
    <x v="1"/>
    <x v="2"/>
    <x v="2"/>
    <x v="2"/>
    <x v="1"/>
    <x v="1"/>
    <x v="2"/>
    <x v="2"/>
    <x v="2"/>
    <x v="2"/>
    <x v="2"/>
  </r>
  <r>
    <x v="452"/>
    <x v="2"/>
    <x v="0"/>
    <x v="3"/>
    <x v="10"/>
    <x v="7"/>
    <x v="40"/>
    <x v="0"/>
    <x v="0"/>
    <x v="0"/>
    <x v="1"/>
    <x v="0"/>
    <x v="0"/>
    <x v="30"/>
    <x v="0"/>
    <x v="0"/>
    <x v="1"/>
    <x v="8"/>
  </r>
  <r>
    <x v="453"/>
    <x v="2"/>
    <x v="1"/>
    <x v="4"/>
    <x v="2"/>
    <x v="2"/>
    <x v="2"/>
    <x v="1"/>
    <x v="2"/>
    <x v="2"/>
    <x v="2"/>
    <x v="1"/>
    <x v="1"/>
    <x v="2"/>
    <x v="2"/>
    <x v="2"/>
    <x v="2"/>
    <x v="2"/>
  </r>
  <r>
    <x v="454"/>
    <x v="1"/>
    <x v="1"/>
    <x v="1"/>
    <x v="2"/>
    <x v="2"/>
    <x v="2"/>
    <x v="1"/>
    <x v="2"/>
    <x v="2"/>
    <x v="2"/>
    <x v="1"/>
    <x v="3"/>
    <x v="2"/>
    <x v="2"/>
    <x v="2"/>
    <x v="2"/>
    <x v="2"/>
  </r>
  <r>
    <x v="455"/>
    <x v="1"/>
    <x v="0"/>
    <x v="20"/>
    <x v="4"/>
    <x v="10"/>
    <x v="35"/>
    <x v="0"/>
    <x v="3"/>
    <x v="5"/>
    <x v="4"/>
    <x v="0"/>
    <x v="0"/>
    <x v="8"/>
    <x v="3"/>
    <x v="5"/>
    <x v="4"/>
    <x v="3"/>
  </r>
  <r>
    <x v="456"/>
    <x v="1"/>
    <x v="0"/>
    <x v="19"/>
    <x v="28"/>
    <x v="31"/>
    <x v="4"/>
    <x v="0"/>
    <x v="4"/>
    <x v="3"/>
    <x v="1"/>
    <x v="1"/>
    <x v="4"/>
    <x v="2"/>
    <x v="4"/>
    <x v="3"/>
    <x v="1"/>
    <x v="2"/>
  </r>
  <r>
    <x v="457"/>
    <x v="3"/>
    <x v="0"/>
    <x v="16"/>
    <x v="16"/>
    <x v="27"/>
    <x v="21"/>
    <x v="0"/>
    <x v="0"/>
    <x v="0"/>
    <x v="6"/>
    <x v="0"/>
    <x v="0"/>
    <x v="30"/>
    <x v="0"/>
    <x v="0"/>
    <x v="6"/>
    <x v="7"/>
  </r>
  <r>
    <x v="458"/>
    <x v="0"/>
    <x v="2"/>
    <x v="17"/>
    <x v="20"/>
    <x v="23"/>
    <x v="16"/>
    <x v="0"/>
    <x v="1"/>
    <x v="5"/>
    <x v="3"/>
    <x v="0"/>
    <x v="0"/>
    <x v="32"/>
    <x v="1"/>
    <x v="5"/>
    <x v="3"/>
    <x v="7"/>
  </r>
  <r>
    <x v="459"/>
    <x v="0"/>
    <x v="0"/>
    <x v="5"/>
    <x v="28"/>
    <x v="10"/>
    <x v="11"/>
    <x v="0"/>
    <x v="3"/>
    <x v="1"/>
    <x v="5"/>
    <x v="0"/>
    <x v="0"/>
    <x v="1"/>
    <x v="3"/>
    <x v="1"/>
    <x v="5"/>
    <x v="10"/>
  </r>
  <r>
    <x v="460"/>
    <x v="1"/>
    <x v="0"/>
    <x v="2"/>
    <x v="6"/>
    <x v="37"/>
    <x v="6"/>
    <x v="0"/>
    <x v="0"/>
    <x v="0"/>
    <x v="5"/>
    <x v="1"/>
    <x v="4"/>
    <x v="2"/>
    <x v="0"/>
    <x v="0"/>
    <x v="5"/>
    <x v="2"/>
  </r>
  <r>
    <x v="461"/>
    <x v="0"/>
    <x v="1"/>
    <x v="29"/>
    <x v="2"/>
    <x v="2"/>
    <x v="2"/>
    <x v="1"/>
    <x v="2"/>
    <x v="2"/>
    <x v="2"/>
    <x v="1"/>
    <x v="3"/>
    <x v="2"/>
    <x v="2"/>
    <x v="2"/>
    <x v="2"/>
    <x v="2"/>
  </r>
  <r>
    <x v="462"/>
    <x v="1"/>
    <x v="1"/>
    <x v="15"/>
    <x v="2"/>
    <x v="2"/>
    <x v="2"/>
    <x v="1"/>
    <x v="2"/>
    <x v="2"/>
    <x v="2"/>
    <x v="1"/>
    <x v="3"/>
    <x v="2"/>
    <x v="2"/>
    <x v="2"/>
    <x v="2"/>
    <x v="2"/>
  </r>
  <r>
    <x v="463"/>
    <x v="3"/>
    <x v="0"/>
    <x v="29"/>
    <x v="17"/>
    <x v="21"/>
    <x v="19"/>
    <x v="0"/>
    <x v="3"/>
    <x v="5"/>
    <x v="5"/>
    <x v="0"/>
    <x v="0"/>
    <x v="25"/>
    <x v="3"/>
    <x v="5"/>
    <x v="5"/>
    <x v="10"/>
  </r>
  <r>
    <x v="464"/>
    <x v="3"/>
    <x v="2"/>
    <x v="5"/>
    <x v="4"/>
    <x v="10"/>
    <x v="18"/>
    <x v="0"/>
    <x v="0"/>
    <x v="5"/>
    <x v="3"/>
    <x v="0"/>
    <x v="0"/>
    <x v="51"/>
    <x v="0"/>
    <x v="5"/>
    <x v="3"/>
    <x v="8"/>
  </r>
  <r>
    <x v="465"/>
    <x v="2"/>
    <x v="2"/>
    <x v="23"/>
    <x v="9"/>
    <x v="18"/>
    <x v="0"/>
    <x v="0"/>
    <x v="5"/>
    <x v="3"/>
    <x v="1"/>
    <x v="0"/>
    <x v="0"/>
    <x v="19"/>
    <x v="5"/>
    <x v="3"/>
    <x v="1"/>
    <x v="8"/>
  </r>
  <r>
    <x v="466"/>
    <x v="3"/>
    <x v="2"/>
    <x v="23"/>
    <x v="31"/>
    <x v="28"/>
    <x v="21"/>
    <x v="0"/>
    <x v="1"/>
    <x v="5"/>
    <x v="0"/>
    <x v="0"/>
    <x v="0"/>
    <x v="19"/>
    <x v="1"/>
    <x v="5"/>
    <x v="0"/>
    <x v="10"/>
  </r>
  <r>
    <x v="467"/>
    <x v="1"/>
    <x v="0"/>
    <x v="26"/>
    <x v="9"/>
    <x v="8"/>
    <x v="17"/>
    <x v="0"/>
    <x v="4"/>
    <x v="0"/>
    <x v="6"/>
    <x v="0"/>
    <x v="0"/>
    <x v="14"/>
    <x v="4"/>
    <x v="0"/>
    <x v="6"/>
    <x v="10"/>
  </r>
  <r>
    <x v="468"/>
    <x v="3"/>
    <x v="0"/>
    <x v="6"/>
    <x v="5"/>
    <x v="3"/>
    <x v="5"/>
    <x v="0"/>
    <x v="0"/>
    <x v="4"/>
    <x v="1"/>
    <x v="0"/>
    <x v="0"/>
    <x v="19"/>
    <x v="0"/>
    <x v="4"/>
    <x v="1"/>
    <x v="6"/>
  </r>
  <r>
    <x v="469"/>
    <x v="2"/>
    <x v="1"/>
    <x v="3"/>
    <x v="2"/>
    <x v="2"/>
    <x v="2"/>
    <x v="1"/>
    <x v="2"/>
    <x v="2"/>
    <x v="2"/>
    <x v="1"/>
    <x v="3"/>
    <x v="2"/>
    <x v="2"/>
    <x v="2"/>
    <x v="2"/>
    <x v="2"/>
  </r>
  <r>
    <x v="470"/>
    <x v="0"/>
    <x v="0"/>
    <x v="13"/>
    <x v="13"/>
    <x v="30"/>
    <x v="39"/>
    <x v="0"/>
    <x v="3"/>
    <x v="1"/>
    <x v="4"/>
    <x v="0"/>
    <x v="0"/>
    <x v="41"/>
    <x v="3"/>
    <x v="1"/>
    <x v="4"/>
    <x v="11"/>
  </r>
  <r>
    <x v="471"/>
    <x v="1"/>
    <x v="1"/>
    <x v="11"/>
    <x v="2"/>
    <x v="2"/>
    <x v="2"/>
    <x v="1"/>
    <x v="2"/>
    <x v="2"/>
    <x v="2"/>
    <x v="1"/>
    <x v="4"/>
    <x v="2"/>
    <x v="2"/>
    <x v="2"/>
    <x v="2"/>
    <x v="2"/>
  </r>
  <r>
    <x v="472"/>
    <x v="0"/>
    <x v="1"/>
    <x v="21"/>
    <x v="2"/>
    <x v="2"/>
    <x v="2"/>
    <x v="1"/>
    <x v="2"/>
    <x v="2"/>
    <x v="2"/>
    <x v="1"/>
    <x v="3"/>
    <x v="2"/>
    <x v="2"/>
    <x v="2"/>
    <x v="2"/>
    <x v="2"/>
  </r>
  <r>
    <x v="473"/>
    <x v="2"/>
    <x v="0"/>
    <x v="6"/>
    <x v="22"/>
    <x v="16"/>
    <x v="1"/>
    <x v="0"/>
    <x v="1"/>
    <x v="0"/>
    <x v="3"/>
    <x v="0"/>
    <x v="0"/>
    <x v="3"/>
    <x v="1"/>
    <x v="0"/>
    <x v="3"/>
    <x v="1"/>
  </r>
  <r>
    <x v="474"/>
    <x v="2"/>
    <x v="1"/>
    <x v="9"/>
    <x v="2"/>
    <x v="2"/>
    <x v="2"/>
    <x v="1"/>
    <x v="2"/>
    <x v="2"/>
    <x v="2"/>
    <x v="1"/>
    <x v="5"/>
    <x v="2"/>
    <x v="2"/>
    <x v="2"/>
    <x v="2"/>
    <x v="2"/>
  </r>
  <r>
    <x v="475"/>
    <x v="2"/>
    <x v="0"/>
    <x v="1"/>
    <x v="19"/>
    <x v="25"/>
    <x v="32"/>
    <x v="0"/>
    <x v="4"/>
    <x v="0"/>
    <x v="0"/>
    <x v="1"/>
    <x v="1"/>
    <x v="2"/>
    <x v="4"/>
    <x v="0"/>
    <x v="0"/>
    <x v="2"/>
  </r>
  <r>
    <x v="476"/>
    <x v="0"/>
    <x v="2"/>
    <x v="21"/>
    <x v="22"/>
    <x v="28"/>
    <x v="21"/>
    <x v="0"/>
    <x v="3"/>
    <x v="1"/>
    <x v="0"/>
    <x v="0"/>
    <x v="0"/>
    <x v="17"/>
    <x v="3"/>
    <x v="1"/>
    <x v="0"/>
    <x v="0"/>
  </r>
  <r>
    <x v="477"/>
    <x v="0"/>
    <x v="0"/>
    <x v="22"/>
    <x v="28"/>
    <x v="10"/>
    <x v="35"/>
    <x v="0"/>
    <x v="1"/>
    <x v="1"/>
    <x v="4"/>
    <x v="1"/>
    <x v="1"/>
    <x v="2"/>
    <x v="1"/>
    <x v="1"/>
    <x v="4"/>
    <x v="2"/>
  </r>
  <r>
    <x v="478"/>
    <x v="0"/>
    <x v="0"/>
    <x v="21"/>
    <x v="22"/>
    <x v="3"/>
    <x v="3"/>
    <x v="0"/>
    <x v="3"/>
    <x v="5"/>
    <x v="3"/>
    <x v="0"/>
    <x v="0"/>
    <x v="14"/>
    <x v="3"/>
    <x v="5"/>
    <x v="3"/>
    <x v="11"/>
  </r>
  <r>
    <x v="479"/>
    <x v="0"/>
    <x v="0"/>
    <x v="27"/>
    <x v="24"/>
    <x v="6"/>
    <x v="29"/>
    <x v="0"/>
    <x v="1"/>
    <x v="0"/>
    <x v="0"/>
    <x v="1"/>
    <x v="2"/>
    <x v="2"/>
    <x v="1"/>
    <x v="0"/>
    <x v="0"/>
    <x v="2"/>
  </r>
  <r>
    <x v="480"/>
    <x v="2"/>
    <x v="0"/>
    <x v="11"/>
    <x v="7"/>
    <x v="1"/>
    <x v="1"/>
    <x v="0"/>
    <x v="4"/>
    <x v="5"/>
    <x v="1"/>
    <x v="0"/>
    <x v="0"/>
    <x v="18"/>
    <x v="4"/>
    <x v="5"/>
    <x v="1"/>
    <x v="0"/>
  </r>
  <r>
    <x v="481"/>
    <x v="2"/>
    <x v="0"/>
    <x v="20"/>
    <x v="10"/>
    <x v="4"/>
    <x v="8"/>
    <x v="0"/>
    <x v="4"/>
    <x v="3"/>
    <x v="5"/>
    <x v="0"/>
    <x v="0"/>
    <x v="27"/>
    <x v="4"/>
    <x v="3"/>
    <x v="5"/>
    <x v="1"/>
  </r>
  <r>
    <x v="482"/>
    <x v="1"/>
    <x v="0"/>
    <x v="1"/>
    <x v="20"/>
    <x v="23"/>
    <x v="14"/>
    <x v="0"/>
    <x v="3"/>
    <x v="5"/>
    <x v="4"/>
    <x v="0"/>
    <x v="0"/>
    <x v="33"/>
    <x v="3"/>
    <x v="5"/>
    <x v="4"/>
    <x v="7"/>
  </r>
  <r>
    <x v="483"/>
    <x v="1"/>
    <x v="0"/>
    <x v="3"/>
    <x v="4"/>
    <x v="22"/>
    <x v="23"/>
    <x v="0"/>
    <x v="1"/>
    <x v="3"/>
    <x v="5"/>
    <x v="0"/>
    <x v="0"/>
    <x v="43"/>
    <x v="1"/>
    <x v="3"/>
    <x v="5"/>
    <x v="7"/>
  </r>
  <r>
    <x v="484"/>
    <x v="0"/>
    <x v="0"/>
    <x v="28"/>
    <x v="17"/>
    <x v="14"/>
    <x v="25"/>
    <x v="0"/>
    <x v="0"/>
    <x v="4"/>
    <x v="4"/>
    <x v="0"/>
    <x v="0"/>
    <x v="22"/>
    <x v="0"/>
    <x v="4"/>
    <x v="4"/>
    <x v="5"/>
  </r>
  <r>
    <x v="485"/>
    <x v="3"/>
    <x v="0"/>
    <x v="12"/>
    <x v="0"/>
    <x v="0"/>
    <x v="26"/>
    <x v="0"/>
    <x v="4"/>
    <x v="0"/>
    <x v="6"/>
    <x v="1"/>
    <x v="2"/>
    <x v="2"/>
    <x v="4"/>
    <x v="0"/>
    <x v="6"/>
    <x v="2"/>
  </r>
  <r>
    <x v="486"/>
    <x v="3"/>
    <x v="0"/>
    <x v="24"/>
    <x v="20"/>
    <x v="17"/>
    <x v="19"/>
    <x v="0"/>
    <x v="0"/>
    <x v="3"/>
    <x v="6"/>
    <x v="0"/>
    <x v="0"/>
    <x v="3"/>
    <x v="0"/>
    <x v="3"/>
    <x v="6"/>
    <x v="3"/>
  </r>
  <r>
    <x v="487"/>
    <x v="2"/>
    <x v="2"/>
    <x v="23"/>
    <x v="18"/>
    <x v="28"/>
    <x v="33"/>
    <x v="0"/>
    <x v="0"/>
    <x v="4"/>
    <x v="3"/>
    <x v="0"/>
    <x v="0"/>
    <x v="1"/>
    <x v="0"/>
    <x v="4"/>
    <x v="3"/>
    <x v="8"/>
  </r>
  <r>
    <x v="488"/>
    <x v="2"/>
    <x v="0"/>
    <x v="27"/>
    <x v="3"/>
    <x v="16"/>
    <x v="5"/>
    <x v="0"/>
    <x v="5"/>
    <x v="1"/>
    <x v="0"/>
    <x v="0"/>
    <x v="0"/>
    <x v="12"/>
    <x v="5"/>
    <x v="1"/>
    <x v="0"/>
    <x v="7"/>
  </r>
  <r>
    <x v="489"/>
    <x v="2"/>
    <x v="2"/>
    <x v="24"/>
    <x v="27"/>
    <x v="30"/>
    <x v="16"/>
    <x v="0"/>
    <x v="3"/>
    <x v="5"/>
    <x v="5"/>
    <x v="0"/>
    <x v="0"/>
    <x v="42"/>
    <x v="3"/>
    <x v="5"/>
    <x v="5"/>
    <x v="0"/>
  </r>
  <r>
    <x v="490"/>
    <x v="1"/>
    <x v="0"/>
    <x v="3"/>
    <x v="23"/>
    <x v="15"/>
    <x v="35"/>
    <x v="0"/>
    <x v="3"/>
    <x v="4"/>
    <x v="0"/>
    <x v="0"/>
    <x v="0"/>
    <x v="14"/>
    <x v="3"/>
    <x v="4"/>
    <x v="0"/>
    <x v="3"/>
  </r>
  <r>
    <x v="491"/>
    <x v="1"/>
    <x v="0"/>
    <x v="22"/>
    <x v="25"/>
    <x v="0"/>
    <x v="26"/>
    <x v="0"/>
    <x v="3"/>
    <x v="3"/>
    <x v="6"/>
    <x v="1"/>
    <x v="1"/>
    <x v="2"/>
    <x v="3"/>
    <x v="3"/>
    <x v="6"/>
    <x v="2"/>
  </r>
  <r>
    <x v="492"/>
    <x v="2"/>
    <x v="0"/>
    <x v="4"/>
    <x v="7"/>
    <x v="3"/>
    <x v="33"/>
    <x v="0"/>
    <x v="1"/>
    <x v="0"/>
    <x v="5"/>
    <x v="0"/>
    <x v="0"/>
    <x v="18"/>
    <x v="1"/>
    <x v="0"/>
    <x v="5"/>
    <x v="9"/>
  </r>
  <r>
    <x v="493"/>
    <x v="2"/>
    <x v="0"/>
    <x v="30"/>
    <x v="26"/>
    <x v="37"/>
    <x v="14"/>
    <x v="0"/>
    <x v="4"/>
    <x v="1"/>
    <x v="1"/>
    <x v="0"/>
    <x v="0"/>
    <x v="15"/>
    <x v="4"/>
    <x v="1"/>
    <x v="1"/>
    <x v="10"/>
  </r>
  <r>
    <x v="494"/>
    <x v="2"/>
    <x v="1"/>
    <x v="1"/>
    <x v="2"/>
    <x v="2"/>
    <x v="2"/>
    <x v="1"/>
    <x v="2"/>
    <x v="2"/>
    <x v="2"/>
    <x v="1"/>
    <x v="5"/>
    <x v="2"/>
    <x v="2"/>
    <x v="2"/>
    <x v="2"/>
    <x v="2"/>
  </r>
  <r>
    <x v="495"/>
    <x v="3"/>
    <x v="1"/>
    <x v="15"/>
    <x v="2"/>
    <x v="2"/>
    <x v="2"/>
    <x v="1"/>
    <x v="2"/>
    <x v="2"/>
    <x v="2"/>
    <x v="1"/>
    <x v="4"/>
    <x v="2"/>
    <x v="2"/>
    <x v="2"/>
    <x v="2"/>
    <x v="2"/>
  </r>
  <r>
    <x v="496"/>
    <x v="1"/>
    <x v="1"/>
    <x v="6"/>
    <x v="2"/>
    <x v="2"/>
    <x v="2"/>
    <x v="1"/>
    <x v="2"/>
    <x v="2"/>
    <x v="2"/>
    <x v="1"/>
    <x v="4"/>
    <x v="2"/>
    <x v="2"/>
    <x v="2"/>
    <x v="2"/>
    <x v="2"/>
  </r>
  <r>
    <x v="497"/>
    <x v="3"/>
    <x v="1"/>
    <x v="12"/>
    <x v="2"/>
    <x v="2"/>
    <x v="2"/>
    <x v="1"/>
    <x v="2"/>
    <x v="2"/>
    <x v="2"/>
    <x v="1"/>
    <x v="5"/>
    <x v="2"/>
    <x v="2"/>
    <x v="2"/>
    <x v="2"/>
    <x v="2"/>
  </r>
  <r>
    <x v="498"/>
    <x v="3"/>
    <x v="2"/>
    <x v="20"/>
    <x v="10"/>
    <x v="9"/>
    <x v="23"/>
    <x v="0"/>
    <x v="4"/>
    <x v="1"/>
    <x v="3"/>
    <x v="0"/>
    <x v="0"/>
    <x v="6"/>
    <x v="4"/>
    <x v="1"/>
    <x v="3"/>
    <x v="1"/>
  </r>
  <r>
    <x v="499"/>
    <x v="2"/>
    <x v="2"/>
    <x v="19"/>
    <x v="4"/>
    <x v="12"/>
    <x v="13"/>
    <x v="0"/>
    <x v="5"/>
    <x v="4"/>
    <x v="0"/>
    <x v="0"/>
    <x v="0"/>
    <x v="27"/>
    <x v="5"/>
    <x v="4"/>
    <x v="0"/>
    <x v="11"/>
  </r>
  <r>
    <x v="500"/>
    <x v="2"/>
    <x v="0"/>
    <x v="27"/>
    <x v="3"/>
    <x v="1"/>
    <x v="12"/>
    <x v="0"/>
    <x v="5"/>
    <x v="4"/>
    <x v="4"/>
    <x v="0"/>
    <x v="0"/>
    <x v="12"/>
    <x v="5"/>
    <x v="4"/>
    <x v="4"/>
    <x v="3"/>
  </r>
  <r>
    <x v="501"/>
    <x v="0"/>
    <x v="2"/>
    <x v="27"/>
    <x v="3"/>
    <x v="6"/>
    <x v="32"/>
    <x v="0"/>
    <x v="5"/>
    <x v="5"/>
    <x v="4"/>
    <x v="0"/>
    <x v="0"/>
    <x v="20"/>
    <x v="5"/>
    <x v="5"/>
    <x v="4"/>
    <x v="8"/>
  </r>
  <r>
    <x v="502"/>
    <x v="0"/>
    <x v="0"/>
    <x v="26"/>
    <x v="25"/>
    <x v="31"/>
    <x v="13"/>
    <x v="0"/>
    <x v="0"/>
    <x v="1"/>
    <x v="5"/>
    <x v="0"/>
    <x v="0"/>
    <x v="31"/>
    <x v="0"/>
    <x v="1"/>
    <x v="5"/>
    <x v="7"/>
  </r>
  <r>
    <x v="503"/>
    <x v="3"/>
    <x v="0"/>
    <x v="19"/>
    <x v="12"/>
    <x v="12"/>
    <x v="0"/>
    <x v="0"/>
    <x v="3"/>
    <x v="1"/>
    <x v="4"/>
    <x v="0"/>
    <x v="0"/>
    <x v="0"/>
    <x v="3"/>
    <x v="1"/>
    <x v="4"/>
    <x v="4"/>
  </r>
  <r>
    <x v="504"/>
    <x v="1"/>
    <x v="0"/>
    <x v="5"/>
    <x v="11"/>
    <x v="12"/>
    <x v="0"/>
    <x v="0"/>
    <x v="1"/>
    <x v="5"/>
    <x v="4"/>
    <x v="0"/>
    <x v="0"/>
    <x v="27"/>
    <x v="1"/>
    <x v="5"/>
    <x v="4"/>
    <x v="10"/>
  </r>
  <r>
    <x v="505"/>
    <x v="2"/>
    <x v="0"/>
    <x v="0"/>
    <x v="18"/>
    <x v="18"/>
    <x v="24"/>
    <x v="0"/>
    <x v="4"/>
    <x v="0"/>
    <x v="6"/>
    <x v="0"/>
    <x v="0"/>
    <x v="43"/>
    <x v="4"/>
    <x v="0"/>
    <x v="6"/>
    <x v="4"/>
  </r>
  <r>
    <x v="506"/>
    <x v="2"/>
    <x v="0"/>
    <x v="13"/>
    <x v="30"/>
    <x v="13"/>
    <x v="39"/>
    <x v="0"/>
    <x v="1"/>
    <x v="5"/>
    <x v="3"/>
    <x v="0"/>
    <x v="0"/>
    <x v="39"/>
    <x v="1"/>
    <x v="5"/>
    <x v="3"/>
    <x v="7"/>
  </r>
  <r>
    <x v="507"/>
    <x v="3"/>
    <x v="0"/>
    <x v="6"/>
    <x v="7"/>
    <x v="6"/>
    <x v="32"/>
    <x v="0"/>
    <x v="3"/>
    <x v="3"/>
    <x v="4"/>
    <x v="0"/>
    <x v="0"/>
    <x v="3"/>
    <x v="3"/>
    <x v="3"/>
    <x v="4"/>
    <x v="7"/>
  </r>
  <r>
    <x v="508"/>
    <x v="0"/>
    <x v="1"/>
    <x v="8"/>
    <x v="2"/>
    <x v="2"/>
    <x v="2"/>
    <x v="1"/>
    <x v="2"/>
    <x v="2"/>
    <x v="2"/>
    <x v="1"/>
    <x v="4"/>
    <x v="2"/>
    <x v="2"/>
    <x v="2"/>
    <x v="2"/>
    <x v="2"/>
  </r>
  <r>
    <x v="509"/>
    <x v="1"/>
    <x v="0"/>
    <x v="30"/>
    <x v="33"/>
    <x v="29"/>
    <x v="30"/>
    <x v="0"/>
    <x v="3"/>
    <x v="3"/>
    <x v="4"/>
    <x v="0"/>
    <x v="0"/>
    <x v="28"/>
    <x v="3"/>
    <x v="3"/>
    <x v="4"/>
    <x v="11"/>
  </r>
  <r>
    <x v="510"/>
    <x v="0"/>
    <x v="1"/>
    <x v="13"/>
    <x v="2"/>
    <x v="2"/>
    <x v="2"/>
    <x v="1"/>
    <x v="2"/>
    <x v="2"/>
    <x v="2"/>
    <x v="1"/>
    <x v="3"/>
    <x v="2"/>
    <x v="2"/>
    <x v="2"/>
    <x v="2"/>
    <x v="2"/>
  </r>
  <r>
    <x v="511"/>
    <x v="0"/>
    <x v="2"/>
    <x v="16"/>
    <x v="22"/>
    <x v="6"/>
    <x v="29"/>
    <x v="0"/>
    <x v="4"/>
    <x v="4"/>
    <x v="0"/>
    <x v="0"/>
    <x v="0"/>
    <x v="3"/>
    <x v="4"/>
    <x v="4"/>
    <x v="0"/>
    <x v="11"/>
  </r>
  <r>
    <x v="512"/>
    <x v="0"/>
    <x v="1"/>
    <x v="8"/>
    <x v="2"/>
    <x v="2"/>
    <x v="2"/>
    <x v="1"/>
    <x v="2"/>
    <x v="2"/>
    <x v="2"/>
    <x v="1"/>
    <x v="1"/>
    <x v="2"/>
    <x v="2"/>
    <x v="2"/>
    <x v="2"/>
    <x v="2"/>
  </r>
  <r>
    <x v="513"/>
    <x v="0"/>
    <x v="0"/>
    <x v="23"/>
    <x v="18"/>
    <x v="27"/>
    <x v="24"/>
    <x v="0"/>
    <x v="0"/>
    <x v="5"/>
    <x v="5"/>
    <x v="0"/>
    <x v="0"/>
    <x v="3"/>
    <x v="0"/>
    <x v="5"/>
    <x v="5"/>
    <x v="9"/>
  </r>
  <r>
    <x v="514"/>
    <x v="2"/>
    <x v="0"/>
    <x v="1"/>
    <x v="24"/>
    <x v="11"/>
    <x v="32"/>
    <x v="0"/>
    <x v="5"/>
    <x v="5"/>
    <x v="6"/>
    <x v="0"/>
    <x v="0"/>
    <x v="5"/>
    <x v="5"/>
    <x v="5"/>
    <x v="6"/>
    <x v="7"/>
  </r>
  <r>
    <x v="515"/>
    <x v="2"/>
    <x v="2"/>
    <x v="3"/>
    <x v="10"/>
    <x v="10"/>
    <x v="23"/>
    <x v="0"/>
    <x v="0"/>
    <x v="4"/>
    <x v="1"/>
    <x v="1"/>
    <x v="1"/>
    <x v="2"/>
    <x v="0"/>
    <x v="4"/>
    <x v="1"/>
    <x v="2"/>
  </r>
  <r>
    <x v="516"/>
    <x v="0"/>
    <x v="0"/>
    <x v="7"/>
    <x v="6"/>
    <x v="37"/>
    <x v="14"/>
    <x v="0"/>
    <x v="3"/>
    <x v="0"/>
    <x v="1"/>
    <x v="0"/>
    <x v="0"/>
    <x v="9"/>
    <x v="3"/>
    <x v="0"/>
    <x v="1"/>
    <x v="0"/>
  </r>
  <r>
    <x v="517"/>
    <x v="1"/>
    <x v="2"/>
    <x v="3"/>
    <x v="23"/>
    <x v="31"/>
    <x v="13"/>
    <x v="0"/>
    <x v="3"/>
    <x v="5"/>
    <x v="5"/>
    <x v="0"/>
    <x v="0"/>
    <x v="0"/>
    <x v="3"/>
    <x v="5"/>
    <x v="5"/>
    <x v="10"/>
  </r>
  <r>
    <x v="518"/>
    <x v="3"/>
    <x v="2"/>
    <x v="3"/>
    <x v="10"/>
    <x v="9"/>
    <x v="37"/>
    <x v="0"/>
    <x v="0"/>
    <x v="1"/>
    <x v="0"/>
    <x v="0"/>
    <x v="0"/>
    <x v="1"/>
    <x v="0"/>
    <x v="1"/>
    <x v="0"/>
    <x v="4"/>
  </r>
  <r>
    <x v="519"/>
    <x v="1"/>
    <x v="0"/>
    <x v="11"/>
    <x v="5"/>
    <x v="24"/>
    <x v="33"/>
    <x v="0"/>
    <x v="5"/>
    <x v="5"/>
    <x v="0"/>
    <x v="0"/>
    <x v="0"/>
    <x v="11"/>
    <x v="5"/>
    <x v="5"/>
    <x v="0"/>
    <x v="5"/>
  </r>
  <r>
    <x v="520"/>
    <x v="1"/>
    <x v="0"/>
    <x v="7"/>
    <x v="27"/>
    <x v="21"/>
    <x v="22"/>
    <x v="0"/>
    <x v="5"/>
    <x v="0"/>
    <x v="1"/>
    <x v="0"/>
    <x v="0"/>
    <x v="14"/>
    <x v="5"/>
    <x v="0"/>
    <x v="1"/>
    <x v="11"/>
  </r>
  <r>
    <x v="521"/>
    <x v="1"/>
    <x v="0"/>
    <x v="16"/>
    <x v="3"/>
    <x v="6"/>
    <x v="29"/>
    <x v="0"/>
    <x v="3"/>
    <x v="5"/>
    <x v="0"/>
    <x v="0"/>
    <x v="0"/>
    <x v="5"/>
    <x v="3"/>
    <x v="5"/>
    <x v="0"/>
    <x v="8"/>
  </r>
  <r>
    <x v="522"/>
    <x v="0"/>
    <x v="1"/>
    <x v="20"/>
    <x v="2"/>
    <x v="2"/>
    <x v="2"/>
    <x v="1"/>
    <x v="2"/>
    <x v="2"/>
    <x v="2"/>
    <x v="1"/>
    <x v="5"/>
    <x v="2"/>
    <x v="2"/>
    <x v="2"/>
    <x v="2"/>
    <x v="2"/>
  </r>
  <r>
    <x v="523"/>
    <x v="2"/>
    <x v="0"/>
    <x v="11"/>
    <x v="5"/>
    <x v="27"/>
    <x v="33"/>
    <x v="0"/>
    <x v="5"/>
    <x v="1"/>
    <x v="4"/>
    <x v="0"/>
    <x v="0"/>
    <x v="19"/>
    <x v="5"/>
    <x v="1"/>
    <x v="4"/>
    <x v="8"/>
  </r>
  <r>
    <x v="524"/>
    <x v="1"/>
    <x v="0"/>
    <x v="2"/>
    <x v="13"/>
    <x v="37"/>
    <x v="14"/>
    <x v="0"/>
    <x v="5"/>
    <x v="3"/>
    <x v="1"/>
    <x v="0"/>
    <x v="0"/>
    <x v="20"/>
    <x v="5"/>
    <x v="3"/>
    <x v="1"/>
    <x v="1"/>
  </r>
  <r>
    <x v="525"/>
    <x v="0"/>
    <x v="2"/>
    <x v="15"/>
    <x v="25"/>
    <x v="0"/>
    <x v="35"/>
    <x v="0"/>
    <x v="4"/>
    <x v="3"/>
    <x v="5"/>
    <x v="0"/>
    <x v="0"/>
    <x v="31"/>
    <x v="4"/>
    <x v="3"/>
    <x v="5"/>
    <x v="1"/>
  </r>
  <r>
    <x v="526"/>
    <x v="1"/>
    <x v="0"/>
    <x v="13"/>
    <x v="15"/>
    <x v="30"/>
    <x v="16"/>
    <x v="0"/>
    <x v="4"/>
    <x v="0"/>
    <x v="5"/>
    <x v="0"/>
    <x v="0"/>
    <x v="15"/>
    <x v="4"/>
    <x v="0"/>
    <x v="5"/>
    <x v="5"/>
  </r>
  <r>
    <x v="527"/>
    <x v="1"/>
    <x v="0"/>
    <x v="4"/>
    <x v="7"/>
    <x v="3"/>
    <x v="33"/>
    <x v="0"/>
    <x v="1"/>
    <x v="0"/>
    <x v="5"/>
    <x v="0"/>
    <x v="0"/>
    <x v="25"/>
    <x v="1"/>
    <x v="0"/>
    <x v="5"/>
    <x v="8"/>
  </r>
  <r>
    <x v="528"/>
    <x v="0"/>
    <x v="1"/>
    <x v="3"/>
    <x v="2"/>
    <x v="2"/>
    <x v="2"/>
    <x v="1"/>
    <x v="2"/>
    <x v="2"/>
    <x v="2"/>
    <x v="1"/>
    <x v="4"/>
    <x v="2"/>
    <x v="2"/>
    <x v="2"/>
    <x v="2"/>
    <x v="2"/>
  </r>
  <r>
    <x v="529"/>
    <x v="2"/>
    <x v="1"/>
    <x v="0"/>
    <x v="2"/>
    <x v="2"/>
    <x v="2"/>
    <x v="1"/>
    <x v="2"/>
    <x v="2"/>
    <x v="2"/>
    <x v="1"/>
    <x v="2"/>
    <x v="2"/>
    <x v="2"/>
    <x v="2"/>
    <x v="2"/>
    <x v="2"/>
  </r>
  <r>
    <x v="530"/>
    <x v="2"/>
    <x v="0"/>
    <x v="13"/>
    <x v="27"/>
    <x v="23"/>
    <x v="16"/>
    <x v="0"/>
    <x v="0"/>
    <x v="1"/>
    <x v="3"/>
    <x v="0"/>
    <x v="0"/>
    <x v="42"/>
    <x v="0"/>
    <x v="1"/>
    <x v="3"/>
    <x v="0"/>
  </r>
  <r>
    <x v="531"/>
    <x v="3"/>
    <x v="2"/>
    <x v="25"/>
    <x v="26"/>
    <x v="36"/>
    <x v="43"/>
    <x v="0"/>
    <x v="3"/>
    <x v="3"/>
    <x v="6"/>
    <x v="0"/>
    <x v="0"/>
    <x v="39"/>
    <x v="3"/>
    <x v="3"/>
    <x v="6"/>
    <x v="0"/>
  </r>
  <r>
    <x v="532"/>
    <x v="0"/>
    <x v="1"/>
    <x v="6"/>
    <x v="2"/>
    <x v="2"/>
    <x v="2"/>
    <x v="1"/>
    <x v="2"/>
    <x v="2"/>
    <x v="2"/>
    <x v="1"/>
    <x v="2"/>
    <x v="2"/>
    <x v="2"/>
    <x v="2"/>
    <x v="2"/>
    <x v="2"/>
  </r>
  <r>
    <x v="533"/>
    <x v="3"/>
    <x v="0"/>
    <x v="19"/>
    <x v="4"/>
    <x v="22"/>
    <x v="18"/>
    <x v="0"/>
    <x v="5"/>
    <x v="3"/>
    <x v="4"/>
    <x v="0"/>
    <x v="0"/>
    <x v="27"/>
    <x v="5"/>
    <x v="3"/>
    <x v="4"/>
    <x v="10"/>
  </r>
  <r>
    <x v="534"/>
    <x v="3"/>
    <x v="2"/>
    <x v="17"/>
    <x v="20"/>
    <x v="17"/>
    <x v="19"/>
    <x v="0"/>
    <x v="1"/>
    <x v="3"/>
    <x v="6"/>
    <x v="0"/>
    <x v="0"/>
    <x v="29"/>
    <x v="1"/>
    <x v="3"/>
    <x v="6"/>
    <x v="6"/>
  </r>
  <r>
    <x v="535"/>
    <x v="3"/>
    <x v="2"/>
    <x v="1"/>
    <x v="19"/>
    <x v="20"/>
    <x v="27"/>
    <x v="0"/>
    <x v="4"/>
    <x v="3"/>
    <x v="4"/>
    <x v="1"/>
    <x v="4"/>
    <x v="2"/>
    <x v="4"/>
    <x v="3"/>
    <x v="4"/>
    <x v="2"/>
  </r>
  <r>
    <x v="536"/>
    <x v="2"/>
    <x v="0"/>
    <x v="18"/>
    <x v="0"/>
    <x v="15"/>
    <x v="18"/>
    <x v="0"/>
    <x v="5"/>
    <x v="1"/>
    <x v="5"/>
    <x v="0"/>
    <x v="0"/>
    <x v="20"/>
    <x v="5"/>
    <x v="1"/>
    <x v="5"/>
    <x v="6"/>
  </r>
  <r>
    <x v="537"/>
    <x v="0"/>
    <x v="2"/>
    <x v="12"/>
    <x v="12"/>
    <x v="31"/>
    <x v="0"/>
    <x v="0"/>
    <x v="0"/>
    <x v="0"/>
    <x v="3"/>
    <x v="0"/>
    <x v="0"/>
    <x v="0"/>
    <x v="0"/>
    <x v="0"/>
    <x v="3"/>
    <x v="9"/>
  </r>
  <r>
    <x v="538"/>
    <x v="3"/>
    <x v="1"/>
    <x v="27"/>
    <x v="2"/>
    <x v="2"/>
    <x v="2"/>
    <x v="1"/>
    <x v="2"/>
    <x v="2"/>
    <x v="2"/>
    <x v="1"/>
    <x v="2"/>
    <x v="2"/>
    <x v="2"/>
    <x v="2"/>
    <x v="2"/>
    <x v="2"/>
  </r>
  <r>
    <x v="539"/>
    <x v="0"/>
    <x v="0"/>
    <x v="0"/>
    <x v="18"/>
    <x v="18"/>
    <x v="9"/>
    <x v="0"/>
    <x v="4"/>
    <x v="0"/>
    <x v="3"/>
    <x v="1"/>
    <x v="5"/>
    <x v="2"/>
    <x v="4"/>
    <x v="0"/>
    <x v="3"/>
    <x v="2"/>
  </r>
  <r>
    <x v="540"/>
    <x v="0"/>
    <x v="2"/>
    <x v="25"/>
    <x v="26"/>
    <x v="32"/>
    <x v="43"/>
    <x v="0"/>
    <x v="3"/>
    <x v="4"/>
    <x v="5"/>
    <x v="0"/>
    <x v="0"/>
    <x v="36"/>
    <x v="3"/>
    <x v="4"/>
    <x v="5"/>
    <x v="3"/>
  </r>
  <r>
    <x v="541"/>
    <x v="2"/>
    <x v="1"/>
    <x v="3"/>
    <x v="2"/>
    <x v="2"/>
    <x v="2"/>
    <x v="1"/>
    <x v="2"/>
    <x v="2"/>
    <x v="2"/>
    <x v="1"/>
    <x v="5"/>
    <x v="2"/>
    <x v="2"/>
    <x v="2"/>
    <x v="2"/>
    <x v="2"/>
  </r>
  <r>
    <x v="542"/>
    <x v="3"/>
    <x v="0"/>
    <x v="1"/>
    <x v="24"/>
    <x v="6"/>
    <x v="3"/>
    <x v="0"/>
    <x v="5"/>
    <x v="0"/>
    <x v="6"/>
    <x v="0"/>
    <x v="0"/>
    <x v="8"/>
    <x v="5"/>
    <x v="0"/>
    <x v="6"/>
    <x v="3"/>
  </r>
  <r>
    <x v="543"/>
    <x v="3"/>
    <x v="0"/>
    <x v="3"/>
    <x v="4"/>
    <x v="22"/>
    <x v="11"/>
    <x v="0"/>
    <x v="1"/>
    <x v="3"/>
    <x v="0"/>
    <x v="0"/>
    <x v="0"/>
    <x v="8"/>
    <x v="1"/>
    <x v="3"/>
    <x v="0"/>
    <x v="8"/>
  </r>
  <r>
    <x v="544"/>
    <x v="0"/>
    <x v="2"/>
    <x v="26"/>
    <x v="18"/>
    <x v="27"/>
    <x v="24"/>
    <x v="0"/>
    <x v="3"/>
    <x v="5"/>
    <x v="5"/>
    <x v="0"/>
    <x v="0"/>
    <x v="21"/>
    <x v="3"/>
    <x v="5"/>
    <x v="5"/>
    <x v="10"/>
  </r>
  <r>
    <x v="545"/>
    <x v="1"/>
    <x v="2"/>
    <x v="3"/>
    <x v="34"/>
    <x v="7"/>
    <x v="40"/>
    <x v="0"/>
    <x v="5"/>
    <x v="3"/>
    <x v="1"/>
    <x v="0"/>
    <x v="0"/>
    <x v="1"/>
    <x v="5"/>
    <x v="3"/>
    <x v="1"/>
    <x v="5"/>
  </r>
  <r>
    <x v="546"/>
    <x v="2"/>
    <x v="0"/>
    <x v="21"/>
    <x v="18"/>
    <x v="26"/>
    <x v="26"/>
    <x v="0"/>
    <x v="5"/>
    <x v="3"/>
    <x v="1"/>
    <x v="0"/>
    <x v="0"/>
    <x v="12"/>
    <x v="5"/>
    <x v="3"/>
    <x v="1"/>
    <x v="9"/>
  </r>
  <r>
    <x v="547"/>
    <x v="2"/>
    <x v="0"/>
    <x v="27"/>
    <x v="3"/>
    <x v="24"/>
    <x v="21"/>
    <x v="0"/>
    <x v="5"/>
    <x v="0"/>
    <x v="1"/>
    <x v="0"/>
    <x v="0"/>
    <x v="42"/>
    <x v="5"/>
    <x v="0"/>
    <x v="1"/>
    <x v="8"/>
  </r>
  <r>
    <x v="548"/>
    <x v="2"/>
    <x v="0"/>
    <x v="8"/>
    <x v="32"/>
    <x v="9"/>
    <x v="10"/>
    <x v="0"/>
    <x v="5"/>
    <x v="4"/>
    <x v="1"/>
    <x v="0"/>
    <x v="0"/>
    <x v="48"/>
    <x v="5"/>
    <x v="4"/>
    <x v="1"/>
    <x v="5"/>
  </r>
  <r>
    <x v="549"/>
    <x v="2"/>
    <x v="0"/>
    <x v="1"/>
    <x v="24"/>
    <x v="3"/>
    <x v="15"/>
    <x v="0"/>
    <x v="5"/>
    <x v="1"/>
    <x v="4"/>
    <x v="0"/>
    <x v="0"/>
    <x v="11"/>
    <x v="5"/>
    <x v="1"/>
    <x v="4"/>
    <x v="7"/>
  </r>
  <r>
    <x v="550"/>
    <x v="3"/>
    <x v="0"/>
    <x v="0"/>
    <x v="31"/>
    <x v="28"/>
    <x v="5"/>
    <x v="0"/>
    <x v="3"/>
    <x v="5"/>
    <x v="6"/>
    <x v="0"/>
    <x v="0"/>
    <x v="43"/>
    <x v="3"/>
    <x v="5"/>
    <x v="6"/>
    <x v="9"/>
  </r>
  <r>
    <x v="551"/>
    <x v="3"/>
    <x v="2"/>
    <x v="12"/>
    <x v="12"/>
    <x v="0"/>
    <x v="18"/>
    <x v="0"/>
    <x v="0"/>
    <x v="5"/>
    <x v="1"/>
    <x v="0"/>
    <x v="0"/>
    <x v="8"/>
    <x v="0"/>
    <x v="5"/>
    <x v="1"/>
    <x v="9"/>
  </r>
  <r>
    <x v="552"/>
    <x v="1"/>
    <x v="0"/>
    <x v="10"/>
    <x v="34"/>
    <x v="22"/>
    <x v="11"/>
    <x v="0"/>
    <x v="0"/>
    <x v="4"/>
    <x v="0"/>
    <x v="0"/>
    <x v="0"/>
    <x v="27"/>
    <x v="0"/>
    <x v="4"/>
    <x v="0"/>
    <x v="3"/>
  </r>
  <r>
    <x v="553"/>
    <x v="2"/>
    <x v="1"/>
    <x v="22"/>
    <x v="2"/>
    <x v="2"/>
    <x v="2"/>
    <x v="1"/>
    <x v="2"/>
    <x v="2"/>
    <x v="2"/>
    <x v="1"/>
    <x v="4"/>
    <x v="2"/>
    <x v="2"/>
    <x v="2"/>
    <x v="2"/>
    <x v="2"/>
  </r>
  <r>
    <x v="554"/>
    <x v="2"/>
    <x v="0"/>
    <x v="6"/>
    <x v="7"/>
    <x v="6"/>
    <x v="33"/>
    <x v="0"/>
    <x v="3"/>
    <x v="3"/>
    <x v="1"/>
    <x v="0"/>
    <x v="0"/>
    <x v="10"/>
    <x v="3"/>
    <x v="3"/>
    <x v="1"/>
    <x v="0"/>
  </r>
  <r>
    <x v="555"/>
    <x v="0"/>
    <x v="0"/>
    <x v="3"/>
    <x v="10"/>
    <x v="9"/>
    <x v="23"/>
    <x v="0"/>
    <x v="0"/>
    <x v="1"/>
    <x v="3"/>
    <x v="0"/>
    <x v="0"/>
    <x v="6"/>
    <x v="0"/>
    <x v="1"/>
    <x v="3"/>
    <x v="1"/>
  </r>
  <r>
    <x v="556"/>
    <x v="3"/>
    <x v="2"/>
    <x v="21"/>
    <x v="16"/>
    <x v="26"/>
    <x v="5"/>
    <x v="0"/>
    <x v="1"/>
    <x v="1"/>
    <x v="4"/>
    <x v="0"/>
    <x v="0"/>
    <x v="31"/>
    <x v="1"/>
    <x v="1"/>
    <x v="4"/>
    <x v="10"/>
  </r>
  <r>
    <x v="557"/>
    <x v="2"/>
    <x v="0"/>
    <x v="30"/>
    <x v="6"/>
    <x v="13"/>
    <x v="39"/>
    <x v="0"/>
    <x v="1"/>
    <x v="1"/>
    <x v="3"/>
    <x v="0"/>
    <x v="0"/>
    <x v="38"/>
    <x v="1"/>
    <x v="1"/>
    <x v="3"/>
    <x v="0"/>
  </r>
  <r>
    <x v="558"/>
    <x v="1"/>
    <x v="0"/>
    <x v="18"/>
    <x v="16"/>
    <x v="27"/>
    <x v="33"/>
    <x v="0"/>
    <x v="3"/>
    <x v="0"/>
    <x v="4"/>
    <x v="0"/>
    <x v="0"/>
    <x v="3"/>
    <x v="3"/>
    <x v="0"/>
    <x v="4"/>
    <x v="5"/>
  </r>
  <r>
    <x v="559"/>
    <x v="1"/>
    <x v="1"/>
    <x v="25"/>
    <x v="2"/>
    <x v="2"/>
    <x v="2"/>
    <x v="1"/>
    <x v="2"/>
    <x v="2"/>
    <x v="2"/>
    <x v="1"/>
    <x v="2"/>
    <x v="2"/>
    <x v="2"/>
    <x v="2"/>
    <x v="2"/>
    <x v="2"/>
  </r>
  <r>
    <x v="560"/>
    <x v="3"/>
    <x v="0"/>
    <x v="24"/>
    <x v="17"/>
    <x v="23"/>
    <x v="19"/>
    <x v="0"/>
    <x v="1"/>
    <x v="3"/>
    <x v="0"/>
    <x v="0"/>
    <x v="0"/>
    <x v="3"/>
    <x v="1"/>
    <x v="3"/>
    <x v="0"/>
    <x v="5"/>
  </r>
  <r>
    <x v="561"/>
    <x v="1"/>
    <x v="1"/>
    <x v="0"/>
    <x v="2"/>
    <x v="2"/>
    <x v="2"/>
    <x v="1"/>
    <x v="2"/>
    <x v="2"/>
    <x v="2"/>
    <x v="1"/>
    <x v="5"/>
    <x v="2"/>
    <x v="2"/>
    <x v="2"/>
    <x v="2"/>
    <x v="2"/>
  </r>
  <r>
    <x v="562"/>
    <x v="1"/>
    <x v="0"/>
    <x v="26"/>
    <x v="18"/>
    <x v="27"/>
    <x v="33"/>
    <x v="0"/>
    <x v="3"/>
    <x v="5"/>
    <x v="4"/>
    <x v="0"/>
    <x v="0"/>
    <x v="20"/>
    <x v="3"/>
    <x v="5"/>
    <x v="4"/>
    <x v="10"/>
  </r>
  <r>
    <x v="563"/>
    <x v="3"/>
    <x v="2"/>
    <x v="20"/>
    <x v="34"/>
    <x v="4"/>
    <x v="23"/>
    <x v="0"/>
    <x v="1"/>
    <x v="5"/>
    <x v="0"/>
    <x v="0"/>
    <x v="0"/>
    <x v="16"/>
    <x v="1"/>
    <x v="5"/>
    <x v="0"/>
    <x v="9"/>
  </r>
  <r>
    <x v="564"/>
    <x v="2"/>
    <x v="0"/>
    <x v="29"/>
    <x v="20"/>
    <x v="17"/>
    <x v="12"/>
    <x v="0"/>
    <x v="4"/>
    <x v="3"/>
    <x v="5"/>
    <x v="0"/>
    <x v="0"/>
    <x v="12"/>
    <x v="4"/>
    <x v="3"/>
    <x v="5"/>
    <x v="8"/>
  </r>
  <r>
    <x v="565"/>
    <x v="2"/>
    <x v="2"/>
    <x v="24"/>
    <x v="27"/>
    <x v="30"/>
    <x v="16"/>
    <x v="0"/>
    <x v="3"/>
    <x v="5"/>
    <x v="5"/>
    <x v="0"/>
    <x v="0"/>
    <x v="32"/>
    <x v="3"/>
    <x v="5"/>
    <x v="5"/>
    <x v="7"/>
  </r>
  <r>
    <x v="566"/>
    <x v="1"/>
    <x v="2"/>
    <x v="15"/>
    <x v="23"/>
    <x v="10"/>
    <x v="35"/>
    <x v="0"/>
    <x v="5"/>
    <x v="0"/>
    <x v="4"/>
    <x v="0"/>
    <x v="0"/>
    <x v="44"/>
    <x v="5"/>
    <x v="0"/>
    <x v="4"/>
    <x v="9"/>
  </r>
  <r>
    <x v="567"/>
    <x v="1"/>
    <x v="1"/>
    <x v="25"/>
    <x v="2"/>
    <x v="2"/>
    <x v="2"/>
    <x v="1"/>
    <x v="2"/>
    <x v="2"/>
    <x v="2"/>
    <x v="1"/>
    <x v="5"/>
    <x v="2"/>
    <x v="2"/>
    <x v="2"/>
    <x v="2"/>
    <x v="2"/>
  </r>
  <r>
    <x v="568"/>
    <x v="2"/>
    <x v="0"/>
    <x v="4"/>
    <x v="7"/>
    <x v="24"/>
    <x v="1"/>
    <x v="0"/>
    <x v="1"/>
    <x v="1"/>
    <x v="6"/>
    <x v="0"/>
    <x v="0"/>
    <x v="32"/>
    <x v="1"/>
    <x v="1"/>
    <x v="6"/>
    <x v="3"/>
  </r>
  <r>
    <x v="569"/>
    <x v="3"/>
    <x v="0"/>
    <x v="7"/>
    <x v="13"/>
    <x v="5"/>
    <x v="6"/>
    <x v="0"/>
    <x v="4"/>
    <x v="5"/>
    <x v="1"/>
    <x v="0"/>
    <x v="0"/>
    <x v="36"/>
    <x v="4"/>
    <x v="5"/>
    <x v="1"/>
    <x v="8"/>
  </r>
  <r>
    <x v="570"/>
    <x v="1"/>
    <x v="2"/>
    <x v="22"/>
    <x v="25"/>
    <x v="15"/>
    <x v="13"/>
    <x v="0"/>
    <x v="3"/>
    <x v="0"/>
    <x v="1"/>
    <x v="0"/>
    <x v="0"/>
    <x v="44"/>
    <x v="3"/>
    <x v="0"/>
    <x v="1"/>
    <x v="3"/>
  </r>
  <r>
    <x v="571"/>
    <x v="0"/>
    <x v="0"/>
    <x v="0"/>
    <x v="9"/>
    <x v="0"/>
    <x v="18"/>
    <x v="0"/>
    <x v="1"/>
    <x v="1"/>
    <x v="1"/>
    <x v="0"/>
    <x v="0"/>
    <x v="23"/>
    <x v="1"/>
    <x v="1"/>
    <x v="1"/>
    <x v="0"/>
  </r>
  <r>
    <x v="572"/>
    <x v="3"/>
    <x v="2"/>
    <x v="12"/>
    <x v="28"/>
    <x v="31"/>
    <x v="4"/>
    <x v="0"/>
    <x v="5"/>
    <x v="3"/>
    <x v="1"/>
    <x v="0"/>
    <x v="0"/>
    <x v="13"/>
    <x v="5"/>
    <x v="3"/>
    <x v="1"/>
    <x v="10"/>
  </r>
  <r>
    <x v="573"/>
    <x v="1"/>
    <x v="2"/>
    <x v="3"/>
    <x v="4"/>
    <x v="22"/>
    <x v="13"/>
    <x v="0"/>
    <x v="1"/>
    <x v="3"/>
    <x v="3"/>
    <x v="0"/>
    <x v="0"/>
    <x v="52"/>
    <x v="1"/>
    <x v="3"/>
    <x v="3"/>
    <x v="11"/>
  </r>
  <r>
    <x v="574"/>
    <x v="1"/>
    <x v="0"/>
    <x v="7"/>
    <x v="13"/>
    <x v="13"/>
    <x v="28"/>
    <x v="0"/>
    <x v="4"/>
    <x v="0"/>
    <x v="4"/>
    <x v="0"/>
    <x v="0"/>
    <x v="5"/>
    <x v="4"/>
    <x v="0"/>
    <x v="4"/>
    <x v="6"/>
  </r>
  <r>
    <x v="575"/>
    <x v="0"/>
    <x v="2"/>
    <x v="11"/>
    <x v="22"/>
    <x v="16"/>
    <x v="29"/>
    <x v="0"/>
    <x v="0"/>
    <x v="0"/>
    <x v="4"/>
    <x v="0"/>
    <x v="0"/>
    <x v="8"/>
    <x v="0"/>
    <x v="0"/>
    <x v="4"/>
    <x v="4"/>
  </r>
  <r>
    <x v="576"/>
    <x v="0"/>
    <x v="0"/>
    <x v="14"/>
    <x v="21"/>
    <x v="23"/>
    <x v="12"/>
    <x v="0"/>
    <x v="0"/>
    <x v="0"/>
    <x v="1"/>
    <x v="0"/>
    <x v="0"/>
    <x v="17"/>
    <x v="0"/>
    <x v="0"/>
    <x v="1"/>
    <x v="11"/>
  </r>
  <r>
    <x v="577"/>
    <x v="2"/>
    <x v="2"/>
    <x v="12"/>
    <x v="0"/>
    <x v="18"/>
    <x v="9"/>
    <x v="0"/>
    <x v="4"/>
    <x v="5"/>
    <x v="3"/>
    <x v="0"/>
    <x v="0"/>
    <x v="10"/>
    <x v="4"/>
    <x v="5"/>
    <x v="3"/>
    <x v="9"/>
  </r>
  <r>
    <x v="578"/>
    <x v="3"/>
    <x v="2"/>
    <x v="29"/>
    <x v="20"/>
    <x v="17"/>
    <x v="32"/>
    <x v="0"/>
    <x v="4"/>
    <x v="3"/>
    <x v="1"/>
    <x v="0"/>
    <x v="0"/>
    <x v="22"/>
    <x v="4"/>
    <x v="3"/>
    <x v="1"/>
    <x v="5"/>
  </r>
  <r>
    <x v="579"/>
    <x v="3"/>
    <x v="2"/>
    <x v="10"/>
    <x v="11"/>
    <x v="12"/>
    <x v="0"/>
    <x v="0"/>
    <x v="3"/>
    <x v="5"/>
    <x v="4"/>
    <x v="0"/>
    <x v="0"/>
    <x v="0"/>
    <x v="3"/>
    <x v="5"/>
    <x v="4"/>
    <x v="3"/>
  </r>
  <r>
    <x v="580"/>
    <x v="2"/>
    <x v="0"/>
    <x v="2"/>
    <x v="6"/>
    <x v="36"/>
    <x v="31"/>
    <x v="0"/>
    <x v="0"/>
    <x v="5"/>
    <x v="3"/>
    <x v="0"/>
    <x v="0"/>
    <x v="45"/>
    <x v="0"/>
    <x v="5"/>
    <x v="3"/>
    <x v="5"/>
  </r>
  <r>
    <x v="581"/>
    <x v="3"/>
    <x v="0"/>
    <x v="30"/>
    <x v="33"/>
    <x v="5"/>
    <x v="39"/>
    <x v="0"/>
    <x v="3"/>
    <x v="1"/>
    <x v="0"/>
    <x v="0"/>
    <x v="0"/>
    <x v="15"/>
    <x v="3"/>
    <x v="1"/>
    <x v="0"/>
    <x v="9"/>
  </r>
  <r>
    <x v="582"/>
    <x v="3"/>
    <x v="0"/>
    <x v="1"/>
    <x v="1"/>
    <x v="11"/>
    <x v="32"/>
    <x v="0"/>
    <x v="1"/>
    <x v="0"/>
    <x v="6"/>
    <x v="0"/>
    <x v="0"/>
    <x v="17"/>
    <x v="1"/>
    <x v="0"/>
    <x v="6"/>
    <x v="10"/>
  </r>
  <r>
    <x v="583"/>
    <x v="3"/>
    <x v="0"/>
    <x v="19"/>
    <x v="28"/>
    <x v="15"/>
    <x v="18"/>
    <x v="0"/>
    <x v="4"/>
    <x v="5"/>
    <x v="5"/>
    <x v="0"/>
    <x v="0"/>
    <x v="16"/>
    <x v="4"/>
    <x v="5"/>
    <x v="5"/>
    <x v="7"/>
  </r>
  <r>
    <x v="584"/>
    <x v="3"/>
    <x v="0"/>
    <x v="30"/>
    <x v="33"/>
    <x v="5"/>
    <x v="25"/>
    <x v="0"/>
    <x v="3"/>
    <x v="1"/>
    <x v="5"/>
    <x v="1"/>
    <x v="3"/>
    <x v="2"/>
    <x v="3"/>
    <x v="1"/>
    <x v="5"/>
    <x v="2"/>
  </r>
  <r>
    <x v="585"/>
    <x v="3"/>
    <x v="2"/>
    <x v="29"/>
    <x v="20"/>
    <x v="21"/>
    <x v="22"/>
    <x v="0"/>
    <x v="4"/>
    <x v="4"/>
    <x v="1"/>
    <x v="0"/>
    <x v="0"/>
    <x v="17"/>
    <x v="4"/>
    <x v="4"/>
    <x v="1"/>
    <x v="7"/>
  </r>
  <r>
    <x v="586"/>
    <x v="0"/>
    <x v="0"/>
    <x v="9"/>
    <x v="19"/>
    <x v="11"/>
    <x v="32"/>
    <x v="0"/>
    <x v="3"/>
    <x v="1"/>
    <x v="6"/>
    <x v="0"/>
    <x v="0"/>
    <x v="17"/>
    <x v="3"/>
    <x v="1"/>
    <x v="6"/>
    <x v="1"/>
  </r>
  <r>
    <x v="587"/>
    <x v="3"/>
    <x v="1"/>
    <x v="9"/>
    <x v="2"/>
    <x v="2"/>
    <x v="2"/>
    <x v="1"/>
    <x v="2"/>
    <x v="2"/>
    <x v="2"/>
    <x v="1"/>
    <x v="3"/>
    <x v="2"/>
    <x v="2"/>
    <x v="2"/>
    <x v="2"/>
    <x v="2"/>
  </r>
  <r>
    <x v="588"/>
    <x v="0"/>
    <x v="0"/>
    <x v="4"/>
    <x v="7"/>
    <x v="11"/>
    <x v="12"/>
    <x v="0"/>
    <x v="1"/>
    <x v="4"/>
    <x v="3"/>
    <x v="1"/>
    <x v="5"/>
    <x v="2"/>
    <x v="1"/>
    <x v="4"/>
    <x v="3"/>
    <x v="2"/>
  </r>
  <r>
    <x v="589"/>
    <x v="3"/>
    <x v="0"/>
    <x v="13"/>
    <x v="30"/>
    <x v="37"/>
    <x v="39"/>
    <x v="0"/>
    <x v="1"/>
    <x v="4"/>
    <x v="6"/>
    <x v="0"/>
    <x v="0"/>
    <x v="38"/>
    <x v="1"/>
    <x v="4"/>
    <x v="6"/>
    <x v="3"/>
  </r>
  <r>
    <x v="590"/>
    <x v="2"/>
    <x v="1"/>
    <x v="24"/>
    <x v="2"/>
    <x v="2"/>
    <x v="2"/>
    <x v="1"/>
    <x v="2"/>
    <x v="2"/>
    <x v="2"/>
    <x v="1"/>
    <x v="4"/>
    <x v="2"/>
    <x v="2"/>
    <x v="2"/>
    <x v="2"/>
    <x v="2"/>
  </r>
  <r>
    <x v="591"/>
    <x v="1"/>
    <x v="0"/>
    <x v="16"/>
    <x v="31"/>
    <x v="16"/>
    <x v="1"/>
    <x v="0"/>
    <x v="5"/>
    <x v="4"/>
    <x v="3"/>
    <x v="0"/>
    <x v="0"/>
    <x v="49"/>
    <x v="5"/>
    <x v="4"/>
    <x v="3"/>
    <x v="6"/>
  </r>
  <r>
    <x v="592"/>
    <x v="0"/>
    <x v="2"/>
    <x v="4"/>
    <x v="3"/>
    <x v="1"/>
    <x v="1"/>
    <x v="0"/>
    <x v="0"/>
    <x v="4"/>
    <x v="1"/>
    <x v="1"/>
    <x v="1"/>
    <x v="2"/>
    <x v="0"/>
    <x v="4"/>
    <x v="1"/>
    <x v="2"/>
  </r>
  <r>
    <x v="593"/>
    <x v="3"/>
    <x v="0"/>
    <x v="23"/>
    <x v="9"/>
    <x v="8"/>
    <x v="17"/>
    <x v="0"/>
    <x v="5"/>
    <x v="0"/>
    <x v="6"/>
    <x v="0"/>
    <x v="0"/>
    <x v="27"/>
    <x v="5"/>
    <x v="0"/>
    <x v="6"/>
    <x v="11"/>
  </r>
  <r>
    <x v="594"/>
    <x v="2"/>
    <x v="0"/>
    <x v="26"/>
    <x v="25"/>
    <x v="8"/>
    <x v="35"/>
    <x v="0"/>
    <x v="0"/>
    <x v="5"/>
    <x v="1"/>
    <x v="0"/>
    <x v="0"/>
    <x v="8"/>
    <x v="0"/>
    <x v="5"/>
    <x v="1"/>
    <x v="0"/>
  </r>
  <r>
    <x v="595"/>
    <x v="1"/>
    <x v="0"/>
    <x v="19"/>
    <x v="23"/>
    <x v="31"/>
    <x v="26"/>
    <x v="0"/>
    <x v="1"/>
    <x v="5"/>
    <x v="4"/>
    <x v="0"/>
    <x v="0"/>
    <x v="10"/>
    <x v="1"/>
    <x v="5"/>
    <x v="4"/>
    <x v="1"/>
  </r>
  <r>
    <x v="596"/>
    <x v="0"/>
    <x v="0"/>
    <x v="14"/>
    <x v="15"/>
    <x v="5"/>
    <x v="31"/>
    <x v="0"/>
    <x v="3"/>
    <x v="4"/>
    <x v="4"/>
    <x v="1"/>
    <x v="1"/>
    <x v="2"/>
    <x v="3"/>
    <x v="4"/>
    <x v="4"/>
    <x v="2"/>
  </r>
  <r>
    <x v="597"/>
    <x v="1"/>
    <x v="0"/>
    <x v="14"/>
    <x v="30"/>
    <x v="13"/>
    <x v="25"/>
    <x v="0"/>
    <x v="4"/>
    <x v="5"/>
    <x v="6"/>
    <x v="0"/>
    <x v="0"/>
    <x v="46"/>
    <x v="4"/>
    <x v="5"/>
    <x v="6"/>
    <x v="9"/>
  </r>
  <r>
    <x v="598"/>
    <x v="2"/>
    <x v="0"/>
    <x v="14"/>
    <x v="27"/>
    <x v="13"/>
    <x v="6"/>
    <x v="0"/>
    <x v="1"/>
    <x v="4"/>
    <x v="0"/>
    <x v="0"/>
    <x v="0"/>
    <x v="5"/>
    <x v="1"/>
    <x v="4"/>
    <x v="0"/>
    <x v="10"/>
  </r>
  <r>
    <x v="599"/>
    <x v="0"/>
    <x v="0"/>
    <x v="25"/>
    <x v="13"/>
    <x v="5"/>
    <x v="28"/>
    <x v="0"/>
    <x v="1"/>
    <x v="5"/>
    <x v="6"/>
    <x v="0"/>
    <x v="0"/>
    <x v="29"/>
    <x v="1"/>
    <x v="5"/>
    <x v="6"/>
    <x v="8"/>
  </r>
  <r>
    <x v="600"/>
    <x v="1"/>
    <x v="1"/>
    <x v="18"/>
    <x v="2"/>
    <x v="2"/>
    <x v="2"/>
    <x v="1"/>
    <x v="2"/>
    <x v="2"/>
    <x v="2"/>
    <x v="1"/>
    <x v="5"/>
    <x v="2"/>
    <x v="2"/>
    <x v="2"/>
    <x v="2"/>
    <x v="2"/>
  </r>
  <r>
    <x v="601"/>
    <x v="3"/>
    <x v="0"/>
    <x v="3"/>
    <x v="23"/>
    <x v="22"/>
    <x v="23"/>
    <x v="0"/>
    <x v="3"/>
    <x v="1"/>
    <x v="5"/>
    <x v="0"/>
    <x v="0"/>
    <x v="24"/>
    <x v="3"/>
    <x v="1"/>
    <x v="5"/>
    <x v="9"/>
  </r>
  <r>
    <x v="602"/>
    <x v="0"/>
    <x v="2"/>
    <x v="27"/>
    <x v="24"/>
    <x v="6"/>
    <x v="32"/>
    <x v="0"/>
    <x v="1"/>
    <x v="0"/>
    <x v="4"/>
    <x v="0"/>
    <x v="0"/>
    <x v="24"/>
    <x v="1"/>
    <x v="0"/>
    <x v="4"/>
    <x v="1"/>
  </r>
  <r>
    <x v="603"/>
    <x v="1"/>
    <x v="0"/>
    <x v="18"/>
    <x v="18"/>
    <x v="26"/>
    <x v="9"/>
    <x v="0"/>
    <x v="1"/>
    <x v="3"/>
    <x v="6"/>
    <x v="0"/>
    <x v="0"/>
    <x v="31"/>
    <x v="1"/>
    <x v="3"/>
    <x v="6"/>
    <x v="5"/>
  </r>
  <r>
    <x v="604"/>
    <x v="2"/>
    <x v="2"/>
    <x v="26"/>
    <x v="18"/>
    <x v="28"/>
    <x v="24"/>
    <x v="0"/>
    <x v="3"/>
    <x v="4"/>
    <x v="1"/>
    <x v="0"/>
    <x v="0"/>
    <x v="24"/>
    <x v="3"/>
    <x v="4"/>
    <x v="1"/>
    <x v="3"/>
  </r>
  <r>
    <x v="605"/>
    <x v="2"/>
    <x v="0"/>
    <x v="24"/>
    <x v="17"/>
    <x v="20"/>
    <x v="32"/>
    <x v="0"/>
    <x v="1"/>
    <x v="1"/>
    <x v="5"/>
    <x v="0"/>
    <x v="0"/>
    <x v="4"/>
    <x v="1"/>
    <x v="1"/>
    <x v="5"/>
    <x v="9"/>
  </r>
  <r>
    <x v="606"/>
    <x v="0"/>
    <x v="0"/>
    <x v="6"/>
    <x v="5"/>
    <x v="27"/>
    <x v="17"/>
    <x v="0"/>
    <x v="0"/>
    <x v="1"/>
    <x v="1"/>
    <x v="0"/>
    <x v="0"/>
    <x v="11"/>
    <x v="0"/>
    <x v="1"/>
    <x v="1"/>
    <x v="0"/>
  </r>
  <r>
    <x v="607"/>
    <x v="1"/>
    <x v="2"/>
    <x v="20"/>
    <x v="35"/>
    <x v="38"/>
    <x v="23"/>
    <x v="0"/>
    <x v="0"/>
    <x v="0"/>
    <x v="4"/>
    <x v="0"/>
    <x v="0"/>
    <x v="47"/>
    <x v="0"/>
    <x v="0"/>
    <x v="4"/>
    <x v="8"/>
  </r>
  <r>
    <x v="608"/>
    <x v="0"/>
    <x v="0"/>
    <x v="23"/>
    <x v="18"/>
    <x v="18"/>
    <x v="17"/>
    <x v="0"/>
    <x v="0"/>
    <x v="0"/>
    <x v="0"/>
    <x v="0"/>
    <x v="0"/>
    <x v="23"/>
    <x v="0"/>
    <x v="0"/>
    <x v="0"/>
    <x v="6"/>
  </r>
  <r>
    <x v="609"/>
    <x v="0"/>
    <x v="2"/>
    <x v="13"/>
    <x v="27"/>
    <x v="13"/>
    <x v="6"/>
    <x v="0"/>
    <x v="0"/>
    <x v="4"/>
    <x v="0"/>
    <x v="0"/>
    <x v="0"/>
    <x v="39"/>
    <x v="0"/>
    <x v="4"/>
    <x v="0"/>
    <x v="10"/>
  </r>
  <r>
    <x v="610"/>
    <x v="1"/>
    <x v="2"/>
    <x v="24"/>
    <x v="17"/>
    <x v="14"/>
    <x v="27"/>
    <x v="0"/>
    <x v="1"/>
    <x v="4"/>
    <x v="5"/>
    <x v="0"/>
    <x v="0"/>
    <x v="4"/>
    <x v="1"/>
    <x v="4"/>
    <x v="5"/>
    <x v="10"/>
  </r>
  <r>
    <x v="611"/>
    <x v="1"/>
    <x v="0"/>
    <x v="11"/>
    <x v="7"/>
    <x v="24"/>
    <x v="1"/>
    <x v="0"/>
    <x v="4"/>
    <x v="1"/>
    <x v="6"/>
    <x v="0"/>
    <x v="0"/>
    <x v="10"/>
    <x v="4"/>
    <x v="1"/>
    <x v="6"/>
    <x v="0"/>
  </r>
  <r>
    <x v="612"/>
    <x v="3"/>
    <x v="0"/>
    <x v="0"/>
    <x v="0"/>
    <x v="15"/>
    <x v="17"/>
    <x v="0"/>
    <x v="0"/>
    <x v="1"/>
    <x v="4"/>
    <x v="0"/>
    <x v="0"/>
    <x v="8"/>
    <x v="0"/>
    <x v="1"/>
    <x v="4"/>
    <x v="1"/>
  </r>
  <r>
    <x v="613"/>
    <x v="1"/>
    <x v="1"/>
    <x v="17"/>
    <x v="2"/>
    <x v="2"/>
    <x v="2"/>
    <x v="1"/>
    <x v="2"/>
    <x v="2"/>
    <x v="2"/>
    <x v="1"/>
    <x v="5"/>
    <x v="2"/>
    <x v="2"/>
    <x v="2"/>
    <x v="2"/>
    <x v="2"/>
  </r>
  <r>
    <x v="614"/>
    <x v="2"/>
    <x v="0"/>
    <x v="11"/>
    <x v="22"/>
    <x v="16"/>
    <x v="5"/>
    <x v="0"/>
    <x v="0"/>
    <x v="0"/>
    <x v="0"/>
    <x v="0"/>
    <x v="0"/>
    <x v="12"/>
    <x v="0"/>
    <x v="0"/>
    <x v="0"/>
    <x v="5"/>
  </r>
  <r>
    <x v="615"/>
    <x v="0"/>
    <x v="0"/>
    <x v="17"/>
    <x v="20"/>
    <x v="21"/>
    <x v="19"/>
    <x v="0"/>
    <x v="1"/>
    <x v="4"/>
    <x v="5"/>
    <x v="0"/>
    <x v="0"/>
    <x v="34"/>
    <x v="1"/>
    <x v="4"/>
    <x v="5"/>
    <x v="5"/>
  </r>
  <r>
    <x v="616"/>
    <x v="0"/>
    <x v="0"/>
    <x v="26"/>
    <x v="12"/>
    <x v="8"/>
    <x v="24"/>
    <x v="0"/>
    <x v="5"/>
    <x v="4"/>
    <x v="3"/>
    <x v="0"/>
    <x v="0"/>
    <x v="0"/>
    <x v="5"/>
    <x v="4"/>
    <x v="3"/>
    <x v="9"/>
  </r>
  <r>
    <x v="617"/>
    <x v="2"/>
    <x v="2"/>
    <x v="2"/>
    <x v="26"/>
    <x v="37"/>
    <x v="39"/>
    <x v="0"/>
    <x v="1"/>
    <x v="1"/>
    <x v="6"/>
    <x v="0"/>
    <x v="0"/>
    <x v="5"/>
    <x v="1"/>
    <x v="1"/>
    <x v="6"/>
    <x v="8"/>
  </r>
  <r>
    <x v="618"/>
    <x v="1"/>
    <x v="1"/>
    <x v="10"/>
    <x v="2"/>
    <x v="2"/>
    <x v="2"/>
    <x v="1"/>
    <x v="2"/>
    <x v="2"/>
    <x v="2"/>
    <x v="1"/>
    <x v="5"/>
    <x v="2"/>
    <x v="2"/>
    <x v="2"/>
    <x v="2"/>
    <x v="2"/>
  </r>
  <r>
    <x v="619"/>
    <x v="2"/>
    <x v="0"/>
    <x v="19"/>
    <x v="12"/>
    <x v="15"/>
    <x v="26"/>
    <x v="0"/>
    <x v="3"/>
    <x v="3"/>
    <x v="3"/>
    <x v="1"/>
    <x v="4"/>
    <x v="2"/>
    <x v="3"/>
    <x v="3"/>
    <x v="3"/>
    <x v="2"/>
  </r>
  <r>
    <x v="620"/>
    <x v="2"/>
    <x v="0"/>
    <x v="11"/>
    <x v="22"/>
    <x v="28"/>
    <x v="5"/>
    <x v="0"/>
    <x v="0"/>
    <x v="1"/>
    <x v="6"/>
    <x v="1"/>
    <x v="3"/>
    <x v="2"/>
    <x v="0"/>
    <x v="1"/>
    <x v="6"/>
    <x v="2"/>
  </r>
  <r>
    <x v="621"/>
    <x v="3"/>
    <x v="2"/>
    <x v="10"/>
    <x v="11"/>
    <x v="10"/>
    <x v="35"/>
    <x v="0"/>
    <x v="3"/>
    <x v="3"/>
    <x v="4"/>
    <x v="0"/>
    <x v="0"/>
    <x v="24"/>
    <x v="3"/>
    <x v="3"/>
    <x v="4"/>
    <x v="5"/>
  </r>
  <r>
    <x v="622"/>
    <x v="2"/>
    <x v="0"/>
    <x v="29"/>
    <x v="1"/>
    <x v="17"/>
    <x v="12"/>
    <x v="0"/>
    <x v="0"/>
    <x v="4"/>
    <x v="5"/>
    <x v="0"/>
    <x v="0"/>
    <x v="5"/>
    <x v="0"/>
    <x v="4"/>
    <x v="5"/>
    <x v="3"/>
  </r>
  <r>
    <x v="623"/>
    <x v="0"/>
    <x v="0"/>
    <x v="26"/>
    <x v="12"/>
    <x v="12"/>
    <x v="11"/>
    <x v="0"/>
    <x v="5"/>
    <x v="1"/>
    <x v="1"/>
    <x v="0"/>
    <x v="0"/>
    <x v="49"/>
    <x v="5"/>
    <x v="1"/>
    <x v="1"/>
    <x v="1"/>
  </r>
  <r>
    <x v="624"/>
    <x v="2"/>
    <x v="1"/>
    <x v="21"/>
    <x v="2"/>
    <x v="2"/>
    <x v="2"/>
    <x v="1"/>
    <x v="2"/>
    <x v="2"/>
    <x v="2"/>
    <x v="1"/>
    <x v="5"/>
    <x v="2"/>
    <x v="2"/>
    <x v="2"/>
    <x v="2"/>
    <x v="2"/>
  </r>
  <r>
    <x v="625"/>
    <x v="0"/>
    <x v="2"/>
    <x v="14"/>
    <x v="30"/>
    <x v="14"/>
    <x v="19"/>
    <x v="0"/>
    <x v="4"/>
    <x v="0"/>
    <x v="1"/>
    <x v="0"/>
    <x v="0"/>
    <x v="20"/>
    <x v="4"/>
    <x v="0"/>
    <x v="1"/>
    <x v="6"/>
  </r>
  <r>
    <x v="626"/>
    <x v="0"/>
    <x v="0"/>
    <x v="25"/>
    <x v="30"/>
    <x v="13"/>
    <x v="28"/>
    <x v="0"/>
    <x v="5"/>
    <x v="5"/>
    <x v="4"/>
    <x v="0"/>
    <x v="0"/>
    <x v="11"/>
    <x v="5"/>
    <x v="5"/>
    <x v="4"/>
    <x v="10"/>
  </r>
  <r>
    <x v="627"/>
    <x v="0"/>
    <x v="1"/>
    <x v="11"/>
    <x v="2"/>
    <x v="2"/>
    <x v="2"/>
    <x v="1"/>
    <x v="2"/>
    <x v="2"/>
    <x v="2"/>
    <x v="1"/>
    <x v="5"/>
    <x v="2"/>
    <x v="2"/>
    <x v="2"/>
    <x v="2"/>
    <x v="2"/>
  </r>
  <r>
    <x v="628"/>
    <x v="1"/>
    <x v="0"/>
    <x v="8"/>
    <x v="35"/>
    <x v="4"/>
    <x v="4"/>
    <x v="0"/>
    <x v="1"/>
    <x v="4"/>
    <x v="3"/>
    <x v="1"/>
    <x v="2"/>
    <x v="2"/>
    <x v="1"/>
    <x v="4"/>
    <x v="3"/>
    <x v="2"/>
  </r>
  <r>
    <x v="629"/>
    <x v="3"/>
    <x v="0"/>
    <x v="9"/>
    <x v="14"/>
    <x v="20"/>
    <x v="15"/>
    <x v="0"/>
    <x v="1"/>
    <x v="4"/>
    <x v="1"/>
    <x v="0"/>
    <x v="0"/>
    <x v="14"/>
    <x v="1"/>
    <x v="4"/>
    <x v="1"/>
    <x v="9"/>
  </r>
  <r>
    <x v="630"/>
    <x v="0"/>
    <x v="2"/>
    <x v="23"/>
    <x v="5"/>
    <x v="27"/>
    <x v="24"/>
    <x v="0"/>
    <x v="3"/>
    <x v="1"/>
    <x v="5"/>
    <x v="0"/>
    <x v="0"/>
    <x v="31"/>
    <x v="3"/>
    <x v="1"/>
    <x v="5"/>
    <x v="10"/>
  </r>
  <r>
    <x v="631"/>
    <x v="0"/>
    <x v="1"/>
    <x v="29"/>
    <x v="2"/>
    <x v="2"/>
    <x v="2"/>
    <x v="1"/>
    <x v="2"/>
    <x v="2"/>
    <x v="2"/>
    <x v="1"/>
    <x v="4"/>
    <x v="2"/>
    <x v="2"/>
    <x v="2"/>
    <x v="2"/>
    <x v="2"/>
  </r>
  <r>
    <x v="632"/>
    <x v="1"/>
    <x v="2"/>
    <x v="0"/>
    <x v="31"/>
    <x v="28"/>
    <x v="1"/>
    <x v="0"/>
    <x v="3"/>
    <x v="5"/>
    <x v="4"/>
    <x v="0"/>
    <x v="0"/>
    <x v="31"/>
    <x v="3"/>
    <x v="5"/>
    <x v="4"/>
    <x v="3"/>
  </r>
  <r>
    <x v="633"/>
    <x v="0"/>
    <x v="0"/>
    <x v="8"/>
    <x v="35"/>
    <x v="7"/>
    <x v="4"/>
    <x v="0"/>
    <x v="1"/>
    <x v="5"/>
    <x v="4"/>
    <x v="0"/>
    <x v="0"/>
    <x v="23"/>
    <x v="1"/>
    <x v="5"/>
    <x v="4"/>
    <x v="9"/>
  </r>
  <r>
    <x v="634"/>
    <x v="2"/>
    <x v="0"/>
    <x v="4"/>
    <x v="7"/>
    <x v="1"/>
    <x v="12"/>
    <x v="0"/>
    <x v="1"/>
    <x v="5"/>
    <x v="4"/>
    <x v="0"/>
    <x v="0"/>
    <x v="4"/>
    <x v="1"/>
    <x v="5"/>
    <x v="4"/>
    <x v="7"/>
  </r>
  <r>
    <x v="635"/>
    <x v="2"/>
    <x v="2"/>
    <x v="12"/>
    <x v="25"/>
    <x v="31"/>
    <x v="0"/>
    <x v="0"/>
    <x v="1"/>
    <x v="1"/>
    <x v="3"/>
    <x v="1"/>
    <x v="5"/>
    <x v="2"/>
    <x v="1"/>
    <x v="1"/>
    <x v="3"/>
    <x v="2"/>
  </r>
  <r>
    <x v="636"/>
    <x v="3"/>
    <x v="0"/>
    <x v="17"/>
    <x v="19"/>
    <x v="11"/>
    <x v="22"/>
    <x v="0"/>
    <x v="0"/>
    <x v="1"/>
    <x v="4"/>
    <x v="0"/>
    <x v="0"/>
    <x v="42"/>
    <x v="0"/>
    <x v="1"/>
    <x v="4"/>
    <x v="9"/>
  </r>
  <r>
    <x v="637"/>
    <x v="0"/>
    <x v="2"/>
    <x v="11"/>
    <x v="5"/>
    <x v="16"/>
    <x v="5"/>
    <x v="0"/>
    <x v="5"/>
    <x v="3"/>
    <x v="0"/>
    <x v="0"/>
    <x v="0"/>
    <x v="3"/>
    <x v="5"/>
    <x v="3"/>
    <x v="0"/>
    <x v="0"/>
  </r>
  <r>
    <x v="638"/>
    <x v="1"/>
    <x v="2"/>
    <x v="3"/>
    <x v="10"/>
    <x v="4"/>
    <x v="11"/>
    <x v="0"/>
    <x v="0"/>
    <x v="3"/>
    <x v="6"/>
    <x v="0"/>
    <x v="0"/>
    <x v="43"/>
    <x v="0"/>
    <x v="3"/>
    <x v="6"/>
    <x v="10"/>
  </r>
  <r>
    <x v="639"/>
    <x v="2"/>
    <x v="0"/>
    <x v="29"/>
    <x v="20"/>
    <x v="17"/>
    <x v="22"/>
    <x v="0"/>
    <x v="4"/>
    <x v="3"/>
    <x v="0"/>
    <x v="0"/>
    <x v="0"/>
    <x v="15"/>
    <x v="4"/>
    <x v="3"/>
    <x v="0"/>
    <x v="1"/>
  </r>
  <r>
    <x v="640"/>
    <x v="1"/>
    <x v="1"/>
    <x v="28"/>
    <x v="2"/>
    <x v="2"/>
    <x v="2"/>
    <x v="1"/>
    <x v="2"/>
    <x v="2"/>
    <x v="2"/>
    <x v="1"/>
    <x v="2"/>
    <x v="2"/>
    <x v="2"/>
    <x v="2"/>
    <x v="2"/>
    <x v="2"/>
  </r>
  <r>
    <x v="641"/>
    <x v="1"/>
    <x v="0"/>
    <x v="27"/>
    <x v="7"/>
    <x v="3"/>
    <x v="3"/>
    <x v="0"/>
    <x v="0"/>
    <x v="0"/>
    <x v="3"/>
    <x v="0"/>
    <x v="0"/>
    <x v="10"/>
    <x v="0"/>
    <x v="0"/>
    <x v="3"/>
    <x v="3"/>
  </r>
  <r>
    <x v="642"/>
    <x v="2"/>
    <x v="0"/>
    <x v="3"/>
    <x v="4"/>
    <x v="12"/>
    <x v="35"/>
    <x v="0"/>
    <x v="1"/>
    <x v="4"/>
    <x v="3"/>
    <x v="0"/>
    <x v="0"/>
    <x v="10"/>
    <x v="1"/>
    <x v="4"/>
    <x v="3"/>
    <x v="8"/>
  </r>
  <r>
    <x v="643"/>
    <x v="1"/>
    <x v="2"/>
    <x v="6"/>
    <x v="5"/>
    <x v="16"/>
    <x v="29"/>
    <x v="0"/>
    <x v="0"/>
    <x v="3"/>
    <x v="4"/>
    <x v="0"/>
    <x v="0"/>
    <x v="3"/>
    <x v="0"/>
    <x v="3"/>
    <x v="4"/>
    <x v="8"/>
  </r>
  <r>
    <x v="644"/>
    <x v="2"/>
    <x v="2"/>
    <x v="7"/>
    <x v="6"/>
    <x v="37"/>
    <x v="6"/>
    <x v="0"/>
    <x v="3"/>
    <x v="0"/>
    <x v="5"/>
    <x v="0"/>
    <x v="0"/>
    <x v="11"/>
    <x v="3"/>
    <x v="0"/>
    <x v="5"/>
    <x v="10"/>
  </r>
  <r>
    <x v="645"/>
    <x v="1"/>
    <x v="2"/>
    <x v="24"/>
    <x v="17"/>
    <x v="17"/>
    <x v="32"/>
    <x v="0"/>
    <x v="1"/>
    <x v="0"/>
    <x v="1"/>
    <x v="0"/>
    <x v="0"/>
    <x v="18"/>
    <x v="1"/>
    <x v="0"/>
    <x v="1"/>
    <x v="6"/>
  </r>
  <r>
    <x v="646"/>
    <x v="2"/>
    <x v="2"/>
    <x v="27"/>
    <x v="3"/>
    <x v="16"/>
    <x v="9"/>
    <x v="0"/>
    <x v="5"/>
    <x v="1"/>
    <x v="1"/>
    <x v="0"/>
    <x v="0"/>
    <x v="12"/>
    <x v="5"/>
    <x v="1"/>
    <x v="1"/>
    <x v="5"/>
  </r>
  <r>
    <x v="647"/>
    <x v="0"/>
    <x v="0"/>
    <x v="23"/>
    <x v="18"/>
    <x v="27"/>
    <x v="17"/>
    <x v="0"/>
    <x v="0"/>
    <x v="5"/>
    <x v="1"/>
    <x v="0"/>
    <x v="0"/>
    <x v="27"/>
    <x v="0"/>
    <x v="5"/>
    <x v="1"/>
    <x v="7"/>
  </r>
  <r>
    <x v="648"/>
    <x v="3"/>
    <x v="0"/>
    <x v="9"/>
    <x v="14"/>
    <x v="25"/>
    <x v="32"/>
    <x v="0"/>
    <x v="1"/>
    <x v="5"/>
    <x v="0"/>
    <x v="0"/>
    <x v="0"/>
    <x v="39"/>
    <x v="1"/>
    <x v="5"/>
    <x v="0"/>
    <x v="6"/>
  </r>
  <r>
    <x v="649"/>
    <x v="2"/>
    <x v="0"/>
    <x v="23"/>
    <x v="5"/>
    <x v="16"/>
    <x v="1"/>
    <x v="0"/>
    <x v="3"/>
    <x v="3"/>
    <x v="3"/>
    <x v="1"/>
    <x v="1"/>
    <x v="2"/>
    <x v="3"/>
    <x v="3"/>
    <x v="3"/>
    <x v="2"/>
  </r>
  <r>
    <x v="650"/>
    <x v="2"/>
    <x v="2"/>
    <x v="29"/>
    <x v="17"/>
    <x v="14"/>
    <x v="14"/>
    <x v="0"/>
    <x v="3"/>
    <x v="4"/>
    <x v="6"/>
    <x v="1"/>
    <x v="5"/>
    <x v="2"/>
    <x v="3"/>
    <x v="4"/>
    <x v="6"/>
    <x v="2"/>
  </r>
  <r>
    <x v="651"/>
    <x v="3"/>
    <x v="0"/>
    <x v="12"/>
    <x v="12"/>
    <x v="8"/>
    <x v="24"/>
    <x v="0"/>
    <x v="0"/>
    <x v="4"/>
    <x v="3"/>
    <x v="1"/>
    <x v="5"/>
    <x v="2"/>
    <x v="0"/>
    <x v="4"/>
    <x v="3"/>
    <x v="2"/>
  </r>
  <r>
    <x v="652"/>
    <x v="2"/>
    <x v="1"/>
    <x v="29"/>
    <x v="2"/>
    <x v="2"/>
    <x v="2"/>
    <x v="1"/>
    <x v="2"/>
    <x v="2"/>
    <x v="2"/>
    <x v="1"/>
    <x v="2"/>
    <x v="2"/>
    <x v="2"/>
    <x v="2"/>
    <x v="2"/>
    <x v="2"/>
  </r>
  <r>
    <x v="653"/>
    <x v="2"/>
    <x v="2"/>
    <x v="2"/>
    <x v="26"/>
    <x v="32"/>
    <x v="31"/>
    <x v="0"/>
    <x v="1"/>
    <x v="4"/>
    <x v="0"/>
    <x v="0"/>
    <x v="0"/>
    <x v="37"/>
    <x v="1"/>
    <x v="4"/>
    <x v="0"/>
    <x v="9"/>
  </r>
  <r>
    <x v="654"/>
    <x v="1"/>
    <x v="1"/>
    <x v="5"/>
    <x v="2"/>
    <x v="2"/>
    <x v="2"/>
    <x v="1"/>
    <x v="2"/>
    <x v="2"/>
    <x v="2"/>
    <x v="1"/>
    <x v="4"/>
    <x v="2"/>
    <x v="2"/>
    <x v="2"/>
    <x v="2"/>
    <x v="2"/>
  </r>
  <r>
    <x v="655"/>
    <x v="3"/>
    <x v="1"/>
    <x v="26"/>
    <x v="2"/>
    <x v="2"/>
    <x v="2"/>
    <x v="1"/>
    <x v="2"/>
    <x v="2"/>
    <x v="2"/>
    <x v="1"/>
    <x v="5"/>
    <x v="2"/>
    <x v="2"/>
    <x v="2"/>
    <x v="2"/>
    <x v="2"/>
  </r>
  <r>
    <x v="656"/>
    <x v="0"/>
    <x v="2"/>
    <x v="27"/>
    <x v="3"/>
    <x v="24"/>
    <x v="21"/>
    <x v="0"/>
    <x v="5"/>
    <x v="0"/>
    <x v="1"/>
    <x v="0"/>
    <x v="0"/>
    <x v="12"/>
    <x v="5"/>
    <x v="0"/>
    <x v="1"/>
    <x v="0"/>
  </r>
  <r>
    <x v="657"/>
    <x v="2"/>
    <x v="0"/>
    <x v="17"/>
    <x v="17"/>
    <x v="17"/>
    <x v="19"/>
    <x v="0"/>
    <x v="4"/>
    <x v="0"/>
    <x v="6"/>
    <x v="1"/>
    <x v="1"/>
    <x v="2"/>
    <x v="4"/>
    <x v="0"/>
    <x v="6"/>
    <x v="2"/>
  </r>
  <r>
    <x v="658"/>
    <x v="3"/>
    <x v="0"/>
    <x v="2"/>
    <x v="29"/>
    <x v="29"/>
    <x v="31"/>
    <x v="0"/>
    <x v="3"/>
    <x v="0"/>
    <x v="6"/>
    <x v="1"/>
    <x v="5"/>
    <x v="2"/>
    <x v="3"/>
    <x v="0"/>
    <x v="6"/>
    <x v="2"/>
  </r>
  <r>
    <x v="659"/>
    <x v="1"/>
    <x v="0"/>
    <x v="23"/>
    <x v="16"/>
    <x v="26"/>
    <x v="5"/>
    <x v="0"/>
    <x v="4"/>
    <x v="1"/>
    <x v="4"/>
    <x v="0"/>
    <x v="0"/>
    <x v="25"/>
    <x v="4"/>
    <x v="1"/>
    <x v="4"/>
    <x v="0"/>
  </r>
  <r>
    <x v="660"/>
    <x v="0"/>
    <x v="0"/>
    <x v="3"/>
    <x v="34"/>
    <x v="9"/>
    <x v="40"/>
    <x v="0"/>
    <x v="5"/>
    <x v="0"/>
    <x v="5"/>
    <x v="0"/>
    <x v="0"/>
    <x v="27"/>
    <x v="5"/>
    <x v="0"/>
    <x v="5"/>
    <x v="10"/>
  </r>
  <r>
    <x v="661"/>
    <x v="3"/>
    <x v="0"/>
    <x v="26"/>
    <x v="25"/>
    <x v="18"/>
    <x v="24"/>
    <x v="0"/>
    <x v="0"/>
    <x v="4"/>
    <x v="6"/>
    <x v="0"/>
    <x v="0"/>
    <x v="8"/>
    <x v="0"/>
    <x v="4"/>
    <x v="6"/>
    <x v="3"/>
  </r>
  <r>
    <x v="662"/>
    <x v="0"/>
    <x v="0"/>
    <x v="22"/>
    <x v="25"/>
    <x v="18"/>
    <x v="21"/>
    <x v="0"/>
    <x v="3"/>
    <x v="4"/>
    <x v="4"/>
    <x v="0"/>
    <x v="0"/>
    <x v="10"/>
    <x v="3"/>
    <x v="4"/>
    <x v="4"/>
    <x v="7"/>
  </r>
  <r>
    <x v="663"/>
    <x v="0"/>
    <x v="0"/>
    <x v="15"/>
    <x v="25"/>
    <x v="8"/>
    <x v="0"/>
    <x v="0"/>
    <x v="4"/>
    <x v="5"/>
    <x v="5"/>
    <x v="0"/>
    <x v="0"/>
    <x v="30"/>
    <x v="4"/>
    <x v="5"/>
    <x v="5"/>
    <x v="8"/>
  </r>
  <r>
    <x v="664"/>
    <x v="0"/>
    <x v="0"/>
    <x v="30"/>
    <x v="33"/>
    <x v="34"/>
    <x v="43"/>
    <x v="0"/>
    <x v="3"/>
    <x v="4"/>
    <x v="1"/>
    <x v="0"/>
    <x v="0"/>
    <x v="29"/>
    <x v="3"/>
    <x v="4"/>
    <x v="1"/>
    <x v="3"/>
  </r>
  <r>
    <x v="665"/>
    <x v="2"/>
    <x v="0"/>
    <x v="20"/>
    <x v="10"/>
    <x v="7"/>
    <x v="4"/>
    <x v="0"/>
    <x v="4"/>
    <x v="0"/>
    <x v="4"/>
    <x v="0"/>
    <x v="0"/>
    <x v="16"/>
    <x v="4"/>
    <x v="0"/>
    <x v="4"/>
    <x v="0"/>
  </r>
  <r>
    <x v="666"/>
    <x v="2"/>
    <x v="0"/>
    <x v="18"/>
    <x v="18"/>
    <x v="18"/>
    <x v="9"/>
    <x v="0"/>
    <x v="1"/>
    <x v="0"/>
    <x v="3"/>
    <x v="0"/>
    <x v="0"/>
    <x v="10"/>
    <x v="1"/>
    <x v="0"/>
    <x v="3"/>
    <x v="11"/>
  </r>
  <r>
    <x v="667"/>
    <x v="1"/>
    <x v="0"/>
    <x v="15"/>
    <x v="12"/>
    <x v="15"/>
    <x v="26"/>
    <x v="0"/>
    <x v="1"/>
    <x v="3"/>
    <x v="3"/>
    <x v="0"/>
    <x v="0"/>
    <x v="23"/>
    <x v="1"/>
    <x v="3"/>
    <x v="3"/>
    <x v="6"/>
  </r>
  <r>
    <x v="668"/>
    <x v="1"/>
    <x v="2"/>
    <x v="6"/>
    <x v="5"/>
    <x v="27"/>
    <x v="24"/>
    <x v="0"/>
    <x v="0"/>
    <x v="1"/>
    <x v="5"/>
    <x v="0"/>
    <x v="0"/>
    <x v="19"/>
    <x v="0"/>
    <x v="1"/>
    <x v="5"/>
    <x v="0"/>
  </r>
  <r>
    <x v="669"/>
    <x v="3"/>
    <x v="2"/>
    <x v="5"/>
    <x v="10"/>
    <x v="10"/>
    <x v="35"/>
    <x v="0"/>
    <x v="5"/>
    <x v="4"/>
    <x v="4"/>
    <x v="1"/>
    <x v="1"/>
    <x v="2"/>
    <x v="5"/>
    <x v="4"/>
    <x v="4"/>
    <x v="2"/>
  </r>
  <r>
    <x v="670"/>
    <x v="1"/>
    <x v="1"/>
    <x v="10"/>
    <x v="2"/>
    <x v="2"/>
    <x v="2"/>
    <x v="1"/>
    <x v="2"/>
    <x v="2"/>
    <x v="2"/>
    <x v="1"/>
    <x v="3"/>
    <x v="2"/>
    <x v="2"/>
    <x v="2"/>
    <x v="2"/>
    <x v="2"/>
  </r>
  <r>
    <x v="671"/>
    <x v="0"/>
    <x v="0"/>
    <x v="10"/>
    <x v="11"/>
    <x v="4"/>
    <x v="23"/>
    <x v="0"/>
    <x v="3"/>
    <x v="1"/>
    <x v="0"/>
    <x v="0"/>
    <x v="0"/>
    <x v="13"/>
    <x v="3"/>
    <x v="1"/>
    <x v="0"/>
    <x v="6"/>
  </r>
  <r>
    <x v="672"/>
    <x v="0"/>
    <x v="2"/>
    <x v="29"/>
    <x v="14"/>
    <x v="20"/>
    <x v="27"/>
    <x v="0"/>
    <x v="5"/>
    <x v="4"/>
    <x v="4"/>
    <x v="0"/>
    <x v="0"/>
    <x v="29"/>
    <x v="5"/>
    <x v="4"/>
    <x v="4"/>
    <x v="5"/>
  </r>
  <r>
    <x v="673"/>
    <x v="2"/>
    <x v="2"/>
    <x v="22"/>
    <x v="12"/>
    <x v="0"/>
    <x v="0"/>
    <x v="0"/>
    <x v="4"/>
    <x v="5"/>
    <x v="0"/>
    <x v="0"/>
    <x v="0"/>
    <x v="51"/>
    <x v="4"/>
    <x v="5"/>
    <x v="0"/>
    <x v="4"/>
  </r>
  <r>
    <x v="674"/>
    <x v="0"/>
    <x v="2"/>
    <x v="19"/>
    <x v="11"/>
    <x v="12"/>
    <x v="18"/>
    <x v="0"/>
    <x v="0"/>
    <x v="5"/>
    <x v="6"/>
    <x v="0"/>
    <x v="0"/>
    <x v="51"/>
    <x v="0"/>
    <x v="5"/>
    <x v="6"/>
    <x v="1"/>
  </r>
  <r>
    <x v="675"/>
    <x v="3"/>
    <x v="1"/>
    <x v="24"/>
    <x v="2"/>
    <x v="2"/>
    <x v="2"/>
    <x v="1"/>
    <x v="2"/>
    <x v="2"/>
    <x v="2"/>
    <x v="1"/>
    <x v="3"/>
    <x v="2"/>
    <x v="2"/>
    <x v="2"/>
    <x v="2"/>
    <x v="2"/>
  </r>
  <r>
    <x v="676"/>
    <x v="0"/>
    <x v="0"/>
    <x v="18"/>
    <x v="18"/>
    <x v="8"/>
    <x v="17"/>
    <x v="0"/>
    <x v="1"/>
    <x v="1"/>
    <x v="6"/>
    <x v="0"/>
    <x v="0"/>
    <x v="21"/>
    <x v="1"/>
    <x v="1"/>
    <x v="6"/>
    <x v="4"/>
  </r>
  <r>
    <x v="677"/>
    <x v="0"/>
    <x v="1"/>
    <x v="19"/>
    <x v="2"/>
    <x v="2"/>
    <x v="2"/>
    <x v="1"/>
    <x v="2"/>
    <x v="2"/>
    <x v="2"/>
    <x v="1"/>
    <x v="1"/>
    <x v="2"/>
    <x v="2"/>
    <x v="2"/>
    <x v="2"/>
    <x v="2"/>
  </r>
  <r>
    <x v="678"/>
    <x v="3"/>
    <x v="0"/>
    <x v="9"/>
    <x v="14"/>
    <x v="1"/>
    <x v="15"/>
    <x v="0"/>
    <x v="1"/>
    <x v="0"/>
    <x v="6"/>
    <x v="1"/>
    <x v="4"/>
    <x v="2"/>
    <x v="1"/>
    <x v="0"/>
    <x v="6"/>
    <x v="2"/>
  </r>
  <r>
    <x v="679"/>
    <x v="1"/>
    <x v="0"/>
    <x v="24"/>
    <x v="20"/>
    <x v="17"/>
    <x v="16"/>
    <x v="0"/>
    <x v="0"/>
    <x v="3"/>
    <x v="4"/>
    <x v="0"/>
    <x v="0"/>
    <x v="20"/>
    <x v="0"/>
    <x v="3"/>
    <x v="4"/>
    <x v="4"/>
  </r>
  <r>
    <x v="680"/>
    <x v="1"/>
    <x v="0"/>
    <x v="0"/>
    <x v="31"/>
    <x v="16"/>
    <x v="21"/>
    <x v="0"/>
    <x v="3"/>
    <x v="4"/>
    <x v="5"/>
    <x v="0"/>
    <x v="0"/>
    <x v="5"/>
    <x v="3"/>
    <x v="4"/>
    <x v="5"/>
    <x v="0"/>
  </r>
  <r>
    <x v="681"/>
    <x v="3"/>
    <x v="0"/>
    <x v="28"/>
    <x v="20"/>
    <x v="21"/>
    <x v="27"/>
    <x v="0"/>
    <x v="5"/>
    <x v="4"/>
    <x v="0"/>
    <x v="0"/>
    <x v="0"/>
    <x v="3"/>
    <x v="5"/>
    <x v="4"/>
    <x v="0"/>
    <x v="3"/>
  </r>
  <r>
    <x v="682"/>
    <x v="2"/>
    <x v="2"/>
    <x v="18"/>
    <x v="31"/>
    <x v="27"/>
    <x v="33"/>
    <x v="0"/>
    <x v="4"/>
    <x v="3"/>
    <x v="4"/>
    <x v="0"/>
    <x v="0"/>
    <x v="3"/>
    <x v="4"/>
    <x v="3"/>
    <x v="4"/>
    <x v="1"/>
  </r>
  <r>
    <x v="683"/>
    <x v="0"/>
    <x v="1"/>
    <x v="17"/>
    <x v="2"/>
    <x v="2"/>
    <x v="2"/>
    <x v="1"/>
    <x v="2"/>
    <x v="2"/>
    <x v="2"/>
    <x v="1"/>
    <x v="5"/>
    <x v="2"/>
    <x v="2"/>
    <x v="2"/>
    <x v="2"/>
    <x v="2"/>
  </r>
  <r>
    <x v="684"/>
    <x v="3"/>
    <x v="1"/>
    <x v="26"/>
    <x v="2"/>
    <x v="2"/>
    <x v="2"/>
    <x v="1"/>
    <x v="2"/>
    <x v="2"/>
    <x v="2"/>
    <x v="1"/>
    <x v="5"/>
    <x v="2"/>
    <x v="2"/>
    <x v="2"/>
    <x v="2"/>
    <x v="2"/>
  </r>
  <r>
    <x v="685"/>
    <x v="0"/>
    <x v="0"/>
    <x v="22"/>
    <x v="11"/>
    <x v="4"/>
    <x v="11"/>
    <x v="0"/>
    <x v="5"/>
    <x v="1"/>
    <x v="6"/>
    <x v="0"/>
    <x v="0"/>
    <x v="13"/>
    <x v="5"/>
    <x v="1"/>
    <x v="6"/>
    <x v="7"/>
  </r>
  <r>
    <x v="686"/>
    <x v="2"/>
    <x v="1"/>
    <x v="15"/>
    <x v="2"/>
    <x v="2"/>
    <x v="2"/>
    <x v="1"/>
    <x v="2"/>
    <x v="2"/>
    <x v="2"/>
    <x v="1"/>
    <x v="3"/>
    <x v="2"/>
    <x v="2"/>
    <x v="2"/>
    <x v="2"/>
    <x v="2"/>
  </r>
  <r>
    <x v="687"/>
    <x v="0"/>
    <x v="1"/>
    <x v="22"/>
    <x v="2"/>
    <x v="2"/>
    <x v="2"/>
    <x v="1"/>
    <x v="2"/>
    <x v="2"/>
    <x v="2"/>
    <x v="1"/>
    <x v="1"/>
    <x v="2"/>
    <x v="2"/>
    <x v="2"/>
    <x v="2"/>
    <x v="2"/>
  </r>
  <r>
    <x v="688"/>
    <x v="3"/>
    <x v="0"/>
    <x v="26"/>
    <x v="0"/>
    <x v="15"/>
    <x v="26"/>
    <x v="0"/>
    <x v="1"/>
    <x v="1"/>
    <x v="3"/>
    <x v="0"/>
    <x v="0"/>
    <x v="20"/>
    <x v="1"/>
    <x v="1"/>
    <x v="3"/>
    <x v="7"/>
  </r>
  <r>
    <x v="689"/>
    <x v="0"/>
    <x v="2"/>
    <x v="26"/>
    <x v="25"/>
    <x v="18"/>
    <x v="24"/>
    <x v="0"/>
    <x v="0"/>
    <x v="4"/>
    <x v="6"/>
    <x v="0"/>
    <x v="0"/>
    <x v="1"/>
    <x v="0"/>
    <x v="4"/>
    <x v="6"/>
    <x v="0"/>
  </r>
  <r>
    <x v="690"/>
    <x v="1"/>
    <x v="0"/>
    <x v="5"/>
    <x v="11"/>
    <x v="12"/>
    <x v="4"/>
    <x v="0"/>
    <x v="1"/>
    <x v="5"/>
    <x v="5"/>
    <x v="0"/>
    <x v="0"/>
    <x v="51"/>
    <x v="1"/>
    <x v="5"/>
    <x v="5"/>
    <x v="11"/>
  </r>
  <r>
    <x v="691"/>
    <x v="2"/>
    <x v="0"/>
    <x v="13"/>
    <x v="30"/>
    <x v="30"/>
    <x v="6"/>
    <x v="0"/>
    <x v="1"/>
    <x v="3"/>
    <x v="6"/>
    <x v="0"/>
    <x v="0"/>
    <x v="39"/>
    <x v="1"/>
    <x v="3"/>
    <x v="6"/>
    <x v="9"/>
  </r>
  <r>
    <x v="692"/>
    <x v="2"/>
    <x v="2"/>
    <x v="0"/>
    <x v="18"/>
    <x v="28"/>
    <x v="24"/>
    <x v="0"/>
    <x v="4"/>
    <x v="4"/>
    <x v="1"/>
    <x v="0"/>
    <x v="0"/>
    <x v="8"/>
    <x v="4"/>
    <x v="4"/>
    <x v="1"/>
    <x v="1"/>
  </r>
  <r>
    <x v="693"/>
    <x v="2"/>
    <x v="2"/>
    <x v="7"/>
    <x v="6"/>
    <x v="36"/>
    <x v="39"/>
    <x v="0"/>
    <x v="3"/>
    <x v="5"/>
    <x v="5"/>
    <x v="0"/>
    <x v="0"/>
    <x v="41"/>
    <x v="3"/>
    <x v="5"/>
    <x v="5"/>
    <x v="11"/>
  </r>
  <r>
    <x v="694"/>
    <x v="3"/>
    <x v="0"/>
    <x v="10"/>
    <x v="11"/>
    <x v="4"/>
    <x v="4"/>
    <x v="0"/>
    <x v="3"/>
    <x v="1"/>
    <x v="3"/>
    <x v="0"/>
    <x v="0"/>
    <x v="31"/>
    <x v="3"/>
    <x v="1"/>
    <x v="3"/>
    <x v="0"/>
  </r>
  <r>
    <x v="695"/>
    <x v="2"/>
    <x v="2"/>
    <x v="0"/>
    <x v="18"/>
    <x v="27"/>
    <x v="9"/>
    <x v="0"/>
    <x v="4"/>
    <x v="5"/>
    <x v="0"/>
    <x v="0"/>
    <x v="0"/>
    <x v="19"/>
    <x v="4"/>
    <x v="5"/>
    <x v="0"/>
    <x v="0"/>
  </r>
  <r>
    <x v="696"/>
    <x v="1"/>
    <x v="0"/>
    <x v="0"/>
    <x v="0"/>
    <x v="0"/>
    <x v="26"/>
    <x v="0"/>
    <x v="0"/>
    <x v="0"/>
    <x v="6"/>
    <x v="0"/>
    <x v="0"/>
    <x v="10"/>
    <x v="0"/>
    <x v="0"/>
    <x v="6"/>
    <x v="3"/>
  </r>
  <r>
    <x v="697"/>
    <x v="3"/>
    <x v="1"/>
    <x v="30"/>
    <x v="2"/>
    <x v="2"/>
    <x v="2"/>
    <x v="1"/>
    <x v="2"/>
    <x v="2"/>
    <x v="2"/>
    <x v="1"/>
    <x v="5"/>
    <x v="2"/>
    <x v="2"/>
    <x v="2"/>
    <x v="2"/>
    <x v="2"/>
  </r>
  <r>
    <x v="698"/>
    <x v="1"/>
    <x v="1"/>
    <x v="29"/>
    <x v="2"/>
    <x v="2"/>
    <x v="2"/>
    <x v="1"/>
    <x v="2"/>
    <x v="2"/>
    <x v="2"/>
    <x v="1"/>
    <x v="5"/>
    <x v="2"/>
    <x v="2"/>
    <x v="2"/>
    <x v="2"/>
    <x v="2"/>
  </r>
  <r>
    <x v="699"/>
    <x v="0"/>
    <x v="2"/>
    <x v="19"/>
    <x v="4"/>
    <x v="12"/>
    <x v="4"/>
    <x v="0"/>
    <x v="5"/>
    <x v="4"/>
    <x v="5"/>
    <x v="0"/>
    <x v="0"/>
    <x v="43"/>
    <x v="5"/>
    <x v="4"/>
    <x v="5"/>
    <x v="11"/>
  </r>
  <r>
    <x v="700"/>
    <x v="0"/>
    <x v="1"/>
    <x v="11"/>
    <x v="2"/>
    <x v="2"/>
    <x v="2"/>
    <x v="1"/>
    <x v="2"/>
    <x v="2"/>
    <x v="2"/>
    <x v="1"/>
    <x v="4"/>
    <x v="2"/>
    <x v="2"/>
    <x v="2"/>
    <x v="2"/>
    <x v="2"/>
  </r>
  <r>
    <x v="701"/>
    <x v="0"/>
    <x v="2"/>
    <x v="30"/>
    <x v="13"/>
    <x v="37"/>
    <x v="25"/>
    <x v="0"/>
    <x v="0"/>
    <x v="3"/>
    <x v="0"/>
    <x v="0"/>
    <x v="0"/>
    <x v="18"/>
    <x v="0"/>
    <x v="3"/>
    <x v="0"/>
    <x v="3"/>
  </r>
  <r>
    <x v="702"/>
    <x v="0"/>
    <x v="2"/>
    <x v="23"/>
    <x v="9"/>
    <x v="26"/>
    <x v="21"/>
    <x v="0"/>
    <x v="5"/>
    <x v="5"/>
    <x v="3"/>
    <x v="1"/>
    <x v="2"/>
    <x v="2"/>
    <x v="5"/>
    <x v="5"/>
    <x v="3"/>
    <x v="2"/>
  </r>
  <r>
    <x v="703"/>
    <x v="1"/>
    <x v="0"/>
    <x v="9"/>
    <x v="19"/>
    <x v="11"/>
    <x v="29"/>
    <x v="0"/>
    <x v="3"/>
    <x v="1"/>
    <x v="1"/>
    <x v="0"/>
    <x v="0"/>
    <x v="1"/>
    <x v="3"/>
    <x v="1"/>
    <x v="1"/>
    <x v="0"/>
  </r>
  <r>
    <x v="704"/>
    <x v="3"/>
    <x v="0"/>
    <x v="15"/>
    <x v="12"/>
    <x v="0"/>
    <x v="35"/>
    <x v="0"/>
    <x v="1"/>
    <x v="5"/>
    <x v="5"/>
    <x v="0"/>
    <x v="0"/>
    <x v="0"/>
    <x v="1"/>
    <x v="5"/>
    <x v="5"/>
    <x v="3"/>
  </r>
  <r>
    <x v="705"/>
    <x v="3"/>
    <x v="0"/>
    <x v="13"/>
    <x v="30"/>
    <x v="21"/>
    <x v="14"/>
    <x v="0"/>
    <x v="1"/>
    <x v="1"/>
    <x v="3"/>
    <x v="0"/>
    <x v="0"/>
    <x v="34"/>
    <x v="1"/>
    <x v="1"/>
    <x v="3"/>
    <x v="0"/>
  </r>
  <r>
    <x v="706"/>
    <x v="2"/>
    <x v="0"/>
    <x v="25"/>
    <x v="15"/>
    <x v="30"/>
    <x v="25"/>
    <x v="0"/>
    <x v="0"/>
    <x v="0"/>
    <x v="3"/>
    <x v="0"/>
    <x v="0"/>
    <x v="39"/>
    <x v="0"/>
    <x v="0"/>
    <x v="3"/>
    <x v="5"/>
  </r>
  <r>
    <x v="707"/>
    <x v="1"/>
    <x v="2"/>
    <x v="20"/>
    <x v="10"/>
    <x v="9"/>
    <x v="11"/>
    <x v="0"/>
    <x v="4"/>
    <x v="1"/>
    <x v="4"/>
    <x v="1"/>
    <x v="3"/>
    <x v="2"/>
    <x v="4"/>
    <x v="1"/>
    <x v="4"/>
    <x v="2"/>
  </r>
  <r>
    <x v="708"/>
    <x v="0"/>
    <x v="2"/>
    <x v="29"/>
    <x v="14"/>
    <x v="11"/>
    <x v="15"/>
    <x v="0"/>
    <x v="5"/>
    <x v="3"/>
    <x v="0"/>
    <x v="0"/>
    <x v="0"/>
    <x v="26"/>
    <x v="5"/>
    <x v="3"/>
    <x v="0"/>
    <x v="0"/>
  </r>
  <r>
    <x v="709"/>
    <x v="1"/>
    <x v="0"/>
    <x v="1"/>
    <x v="1"/>
    <x v="11"/>
    <x v="22"/>
    <x v="0"/>
    <x v="1"/>
    <x v="0"/>
    <x v="4"/>
    <x v="0"/>
    <x v="0"/>
    <x v="33"/>
    <x v="1"/>
    <x v="0"/>
    <x v="4"/>
    <x v="5"/>
  </r>
  <r>
    <x v="710"/>
    <x v="2"/>
    <x v="0"/>
    <x v="15"/>
    <x v="28"/>
    <x v="15"/>
    <x v="26"/>
    <x v="0"/>
    <x v="0"/>
    <x v="5"/>
    <x v="3"/>
    <x v="0"/>
    <x v="0"/>
    <x v="43"/>
    <x v="0"/>
    <x v="5"/>
    <x v="3"/>
    <x v="1"/>
  </r>
  <r>
    <x v="711"/>
    <x v="2"/>
    <x v="0"/>
    <x v="4"/>
    <x v="24"/>
    <x v="25"/>
    <x v="15"/>
    <x v="0"/>
    <x v="4"/>
    <x v="4"/>
    <x v="5"/>
    <x v="0"/>
    <x v="0"/>
    <x v="3"/>
    <x v="4"/>
    <x v="4"/>
    <x v="5"/>
    <x v="0"/>
  </r>
  <r>
    <x v="712"/>
    <x v="1"/>
    <x v="2"/>
    <x v="14"/>
    <x v="15"/>
    <x v="14"/>
    <x v="14"/>
    <x v="0"/>
    <x v="3"/>
    <x v="1"/>
    <x v="6"/>
    <x v="0"/>
    <x v="0"/>
    <x v="20"/>
    <x v="3"/>
    <x v="1"/>
    <x v="6"/>
    <x v="7"/>
  </r>
  <r>
    <x v="713"/>
    <x v="1"/>
    <x v="0"/>
    <x v="28"/>
    <x v="27"/>
    <x v="14"/>
    <x v="19"/>
    <x v="0"/>
    <x v="4"/>
    <x v="3"/>
    <x v="1"/>
    <x v="0"/>
    <x v="0"/>
    <x v="39"/>
    <x v="4"/>
    <x v="3"/>
    <x v="1"/>
    <x v="1"/>
  </r>
  <r>
    <x v="714"/>
    <x v="1"/>
    <x v="2"/>
    <x v="13"/>
    <x v="13"/>
    <x v="36"/>
    <x v="25"/>
    <x v="0"/>
    <x v="3"/>
    <x v="4"/>
    <x v="1"/>
    <x v="0"/>
    <x v="0"/>
    <x v="39"/>
    <x v="3"/>
    <x v="4"/>
    <x v="1"/>
    <x v="11"/>
  </r>
  <r>
    <x v="715"/>
    <x v="3"/>
    <x v="2"/>
    <x v="19"/>
    <x v="11"/>
    <x v="31"/>
    <x v="26"/>
    <x v="0"/>
    <x v="0"/>
    <x v="4"/>
    <x v="4"/>
    <x v="0"/>
    <x v="0"/>
    <x v="44"/>
    <x v="0"/>
    <x v="4"/>
    <x v="4"/>
    <x v="11"/>
  </r>
  <r>
    <x v="716"/>
    <x v="0"/>
    <x v="0"/>
    <x v="21"/>
    <x v="5"/>
    <x v="28"/>
    <x v="5"/>
    <x v="0"/>
    <x v="4"/>
    <x v="0"/>
    <x v="6"/>
    <x v="0"/>
    <x v="0"/>
    <x v="32"/>
    <x v="4"/>
    <x v="0"/>
    <x v="6"/>
    <x v="3"/>
  </r>
  <r>
    <x v="717"/>
    <x v="1"/>
    <x v="2"/>
    <x v="10"/>
    <x v="34"/>
    <x v="4"/>
    <x v="13"/>
    <x v="0"/>
    <x v="0"/>
    <x v="5"/>
    <x v="4"/>
    <x v="0"/>
    <x v="0"/>
    <x v="42"/>
    <x v="0"/>
    <x v="5"/>
    <x v="4"/>
    <x v="11"/>
  </r>
  <r>
    <x v="718"/>
    <x v="1"/>
    <x v="2"/>
    <x v="9"/>
    <x v="19"/>
    <x v="23"/>
    <x v="12"/>
    <x v="0"/>
    <x v="3"/>
    <x v="4"/>
    <x v="1"/>
    <x v="0"/>
    <x v="0"/>
    <x v="25"/>
    <x v="3"/>
    <x v="4"/>
    <x v="1"/>
    <x v="0"/>
  </r>
  <r>
    <x v="719"/>
    <x v="1"/>
    <x v="0"/>
    <x v="16"/>
    <x v="5"/>
    <x v="16"/>
    <x v="5"/>
    <x v="0"/>
    <x v="1"/>
    <x v="3"/>
    <x v="0"/>
    <x v="0"/>
    <x v="0"/>
    <x v="20"/>
    <x v="1"/>
    <x v="3"/>
    <x v="0"/>
    <x v="11"/>
  </r>
  <r>
    <x v="720"/>
    <x v="2"/>
    <x v="0"/>
    <x v="16"/>
    <x v="5"/>
    <x v="27"/>
    <x v="17"/>
    <x v="0"/>
    <x v="1"/>
    <x v="1"/>
    <x v="1"/>
    <x v="0"/>
    <x v="0"/>
    <x v="14"/>
    <x v="1"/>
    <x v="1"/>
    <x v="1"/>
    <x v="8"/>
  </r>
  <r>
    <x v="721"/>
    <x v="2"/>
    <x v="0"/>
    <x v="20"/>
    <x v="4"/>
    <x v="7"/>
    <x v="40"/>
    <x v="0"/>
    <x v="3"/>
    <x v="1"/>
    <x v="1"/>
    <x v="0"/>
    <x v="0"/>
    <x v="43"/>
    <x v="3"/>
    <x v="1"/>
    <x v="1"/>
    <x v="5"/>
  </r>
  <r>
    <x v="722"/>
    <x v="3"/>
    <x v="2"/>
    <x v="17"/>
    <x v="1"/>
    <x v="1"/>
    <x v="15"/>
    <x v="0"/>
    <x v="5"/>
    <x v="1"/>
    <x v="6"/>
    <x v="0"/>
    <x v="0"/>
    <x v="24"/>
    <x v="5"/>
    <x v="1"/>
    <x v="6"/>
    <x v="9"/>
  </r>
  <r>
    <x v="723"/>
    <x v="0"/>
    <x v="2"/>
    <x v="5"/>
    <x v="10"/>
    <x v="7"/>
    <x v="4"/>
    <x v="0"/>
    <x v="5"/>
    <x v="0"/>
    <x v="4"/>
    <x v="0"/>
    <x v="0"/>
    <x v="1"/>
    <x v="5"/>
    <x v="0"/>
    <x v="4"/>
    <x v="8"/>
  </r>
  <r>
    <x v="724"/>
    <x v="3"/>
    <x v="2"/>
    <x v="14"/>
    <x v="27"/>
    <x v="14"/>
    <x v="6"/>
    <x v="0"/>
    <x v="1"/>
    <x v="3"/>
    <x v="3"/>
    <x v="0"/>
    <x v="0"/>
    <x v="17"/>
    <x v="1"/>
    <x v="3"/>
    <x v="3"/>
    <x v="4"/>
  </r>
  <r>
    <x v="725"/>
    <x v="0"/>
    <x v="2"/>
    <x v="17"/>
    <x v="20"/>
    <x v="21"/>
    <x v="19"/>
    <x v="0"/>
    <x v="1"/>
    <x v="4"/>
    <x v="5"/>
    <x v="0"/>
    <x v="0"/>
    <x v="38"/>
    <x v="1"/>
    <x v="4"/>
    <x v="5"/>
    <x v="1"/>
  </r>
  <r>
    <x v="726"/>
    <x v="2"/>
    <x v="0"/>
    <x v="20"/>
    <x v="10"/>
    <x v="4"/>
    <x v="4"/>
    <x v="0"/>
    <x v="4"/>
    <x v="3"/>
    <x v="3"/>
    <x v="0"/>
    <x v="0"/>
    <x v="31"/>
    <x v="4"/>
    <x v="3"/>
    <x v="3"/>
    <x v="4"/>
  </r>
  <r>
    <x v="727"/>
    <x v="2"/>
    <x v="1"/>
    <x v="5"/>
    <x v="2"/>
    <x v="2"/>
    <x v="2"/>
    <x v="1"/>
    <x v="2"/>
    <x v="2"/>
    <x v="2"/>
    <x v="1"/>
    <x v="3"/>
    <x v="2"/>
    <x v="2"/>
    <x v="2"/>
    <x v="2"/>
    <x v="2"/>
  </r>
  <r>
    <x v="728"/>
    <x v="2"/>
    <x v="0"/>
    <x v="8"/>
    <x v="34"/>
    <x v="9"/>
    <x v="37"/>
    <x v="0"/>
    <x v="4"/>
    <x v="0"/>
    <x v="0"/>
    <x v="0"/>
    <x v="0"/>
    <x v="53"/>
    <x v="4"/>
    <x v="0"/>
    <x v="0"/>
    <x v="9"/>
  </r>
  <r>
    <x v="729"/>
    <x v="3"/>
    <x v="0"/>
    <x v="6"/>
    <x v="22"/>
    <x v="16"/>
    <x v="5"/>
    <x v="0"/>
    <x v="1"/>
    <x v="0"/>
    <x v="0"/>
    <x v="0"/>
    <x v="0"/>
    <x v="24"/>
    <x v="1"/>
    <x v="0"/>
    <x v="0"/>
    <x v="3"/>
  </r>
  <r>
    <x v="730"/>
    <x v="1"/>
    <x v="0"/>
    <x v="8"/>
    <x v="32"/>
    <x v="38"/>
    <x v="23"/>
    <x v="0"/>
    <x v="5"/>
    <x v="5"/>
    <x v="4"/>
    <x v="0"/>
    <x v="0"/>
    <x v="47"/>
    <x v="5"/>
    <x v="5"/>
    <x v="4"/>
    <x v="10"/>
  </r>
  <r>
    <x v="731"/>
    <x v="1"/>
    <x v="0"/>
    <x v="19"/>
    <x v="28"/>
    <x v="31"/>
    <x v="0"/>
    <x v="0"/>
    <x v="4"/>
    <x v="3"/>
    <x v="3"/>
    <x v="0"/>
    <x v="0"/>
    <x v="23"/>
    <x v="4"/>
    <x v="3"/>
    <x v="3"/>
    <x v="1"/>
  </r>
  <r>
    <x v="732"/>
    <x v="2"/>
    <x v="0"/>
    <x v="29"/>
    <x v="17"/>
    <x v="20"/>
    <x v="15"/>
    <x v="0"/>
    <x v="3"/>
    <x v="1"/>
    <x v="1"/>
    <x v="0"/>
    <x v="0"/>
    <x v="25"/>
    <x v="3"/>
    <x v="1"/>
    <x v="1"/>
    <x v="5"/>
  </r>
  <r>
    <x v="733"/>
    <x v="1"/>
    <x v="0"/>
    <x v="15"/>
    <x v="25"/>
    <x v="15"/>
    <x v="0"/>
    <x v="0"/>
    <x v="4"/>
    <x v="0"/>
    <x v="6"/>
    <x v="0"/>
    <x v="0"/>
    <x v="23"/>
    <x v="4"/>
    <x v="0"/>
    <x v="6"/>
    <x v="8"/>
  </r>
  <r>
    <x v="734"/>
    <x v="1"/>
    <x v="0"/>
    <x v="3"/>
    <x v="11"/>
    <x v="22"/>
    <x v="18"/>
    <x v="0"/>
    <x v="4"/>
    <x v="0"/>
    <x v="4"/>
    <x v="0"/>
    <x v="0"/>
    <x v="6"/>
    <x v="4"/>
    <x v="0"/>
    <x v="4"/>
    <x v="8"/>
  </r>
  <r>
    <x v="735"/>
    <x v="3"/>
    <x v="2"/>
    <x v="1"/>
    <x v="19"/>
    <x v="17"/>
    <x v="16"/>
    <x v="0"/>
    <x v="4"/>
    <x v="5"/>
    <x v="4"/>
    <x v="0"/>
    <x v="0"/>
    <x v="32"/>
    <x v="4"/>
    <x v="5"/>
    <x v="4"/>
    <x v="3"/>
  </r>
  <r>
    <x v="736"/>
    <x v="0"/>
    <x v="0"/>
    <x v="19"/>
    <x v="11"/>
    <x v="4"/>
    <x v="4"/>
    <x v="0"/>
    <x v="0"/>
    <x v="1"/>
    <x v="3"/>
    <x v="0"/>
    <x v="0"/>
    <x v="14"/>
    <x v="0"/>
    <x v="1"/>
    <x v="3"/>
    <x v="6"/>
  </r>
  <r>
    <x v="737"/>
    <x v="2"/>
    <x v="1"/>
    <x v="7"/>
    <x v="2"/>
    <x v="2"/>
    <x v="2"/>
    <x v="1"/>
    <x v="2"/>
    <x v="2"/>
    <x v="2"/>
    <x v="1"/>
    <x v="2"/>
    <x v="2"/>
    <x v="2"/>
    <x v="2"/>
    <x v="2"/>
    <x v="2"/>
  </r>
  <r>
    <x v="738"/>
    <x v="2"/>
    <x v="2"/>
    <x v="11"/>
    <x v="24"/>
    <x v="6"/>
    <x v="1"/>
    <x v="0"/>
    <x v="3"/>
    <x v="0"/>
    <x v="5"/>
    <x v="0"/>
    <x v="0"/>
    <x v="18"/>
    <x v="3"/>
    <x v="0"/>
    <x v="5"/>
    <x v="11"/>
  </r>
  <r>
    <x v="739"/>
    <x v="3"/>
    <x v="2"/>
    <x v="8"/>
    <x v="35"/>
    <x v="4"/>
    <x v="23"/>
    <x v="0"/>
    <x v="1"/>
    <x v="4"/>
    <x v="0"/>
    <x v="0"/>
    <x v="0"/>
    <x v="52"/>
    <x v="1"/>
    <x v="4"/>
    <x v="0"/>
    <x v="11"/>
  </r>
  <r>
    <x v="740"/>
    <x v="3"/>
    <x v="0"/>
    <x v="25"/>
    <x v="30"/>
    <x v="21"/>
    <x v="22"/>
    <x v="0"/>
    <x v="5"/>
    <x v="1"/>
    <x v="1"/>
    <x v="0"/>
    <x v="0"/>
    <x v="4"/>
    <x v="5"/>
    <x v="1"/>
    <x v="1"/>
    <x v="10"/>
  </r>
  <r>
    <x v="741"/>
    <x v="1"/>
    <x v="0"/>
    <x v="13"/>
    <x v="21"/>
    <x v="21"/>
    <x v="16"/>
    <x v="0"/>
    <x v="5"/>
    <x v="3"/>
    <x v="6"/>
    <x v="0"/>
    <x v="0"/>
    <x v="26"/>
    <x v="5"/>
    <x v="3"/>
    <x v="6"/>
    <x v="0"/>
  </r>
  <r>
    <x v="742"/>
    <x v="2"/>
    <x v="0"/>
    <x v="22"/>
    <x v="28"/>
    <x v="15"/>
    <x v="35"/>
    <x v="0"/>
    <x v="1"/>
    <x v="5"/>
    <x v="0"/>
    <x v="0"/>
    <x v="0"/>
    <x v="25"/>
    <x v="1"/>
    <x v="5"/>
    <x v="0"/>
    <x v="0"/>
  </r>
  <r>
    <x v="743"/>
    <x v="0"/>
    <x v="0"/>
    <x v="8"/>
    <x v="8"/>
    <x v="7"/>
    <x v="40"/>
    <x v="0"/>
    <x v="0"/>
    <x v="4"/>
    <x v="1"/>
    <x v="0"/>
    <x v="0"/>
    <x v="44"/>
    <x v="0"/>
    <x v="4"/>
    <x v="1"/>
    <x v="10"/>
  </r>
  <r>
    <x v="744"/>
    <x v="3"/>
    <x v="2"/>
    <x v="24"/>
    <x v="19"/>
    <x v="23"/>
    <x v="14"/>
    <x v="0"/>
    <x v="5"/>
    <x v="4"/>
    <x v="4"/>
    <x v="0"/>
    <x v="0"/>
    <x v="11"/>
    <x v="5"/>
    <x v="4"/>
    <x v="4"/>
    <x v="7"/>
  </r>
  <r>
    <x v="745"/>
    <x v="0"/>
    <x v="0"/>
    <x v="3"/>
    <x v="11"/>
    <x v="10"/>
    <x v="11"/>
    <x v="0"/>
    <x v="4"/>
    <x v="3"/>
    <x v="5"/>
    <x v="0"/>
    <x v="0"/>
    <x v="30"/>
    <x v="4"/>
    <x v="3"/>
    <x v="5"/>
    <x v="3"/>
  </r>
  <r>
    <x v="746"/>
    <x v="0"/>
    <x v="0"/>
    <x v="26"/>
    <x v="12"/>
    <x v="0"/>
    <x v="24"/>
    <x v="0"/>
    <x v="5"/>
    <x v="5"/>
    <x v="4"/>
    <x v="1"/>
    <x v="5"/>
    <x v="2"/>
    <x v="5"/>
    <x v="5"/>
    <x v="4"/>
    <x v="2"/>
  </r>
  <r>
    <x v="747"/>
    <x v="2"/>
    <x v="1"/>
    <x v="15"/>
    <x v="2"/>
    <x v="2"/>
    <x v="2"/>
    <x v="1"/>
    <x v="2"/>
    <x v="2"/>
    <x v="2"/>
    <x v="1"/>
    <x v="4"/>
    <x v="2"/>
    <x v="2"/>
    <x v="2"/>
    <x v="2"/>
    <x v="2"/>
  </r>
  <r>
    <x v="748"/>
    <x v="2"/>
    <x v="0"/>
    <x v="26"/>
    <x v="18"/>
    <x v="18"/>
    <x v="26"/>
    <x v="0"/>
    <x v="3"/>
    <x v="0"/>
    <x v="5"/>
    <x v="0"/>
    <x v="0"/>
    <x v="3"/>
    <x v="3"/>
    <x v="0"/>
    <x v="5"/>
    <x v="11"/>
  </r>
  <r>
    <x v="749"/>
    <x v="3"/>
    <x v="2"/>
    <x v="27"/>
    <x v="1"/>
    <x v="20"/>
    <x v="19"/>
    <x v="0"/>
    <x v="3"/>
    <x v="5"/>
    <x v="3"/>
    <x v="0"/>
    <x v="0"/>
    <x v="29"/>
    <x v="3"/>
    <x v="5"/>
    <x v="3"/>
    <x v="6"/>
  </r>
  <r>
    <x v="750"/>
    <x v="2"/>
    <x v="2"/>
    <x v="8"/>
    <x v="35"/>
    <x v="38"/>
    <x v="34"/>
    <x v="0"/>
    <x v="1"/>
    <x v="0"/>
    <x v="1"/>
    <x v="0"/>
    <x v="0"/>
    <x v="54"/>
    <x v="1"/>
    <x v="0"/>
    <x v="1"/>
    <x v="11"/>
  </r>
  <r>
    <x v="751"/>
    <x v="2"/>
    <x v="2"/>
    <x v="3"/>
    <x v="10"/>
    <x v="4"/>
    <x v="23"/>
    <x v="0"/>
    <x v="0"/>
    <x v="3"/>
    <x v="0"/>
    <x v="0"/>
    <x v="0"/>
    <x v="23"/>
    <x v="0"/>
    <x v="3"/>
    <x v="0"/>
    <x v="8"/>
  </r>
  <r>
    <x v="752"/>
    <x v="2"/>
    <x v="0"/>
    <x v="19"/>
    <x v="11"/>
    <x v="10"/>
    <x v="35"/>
    <x v="0"/>
    <x v="0"/>
    <x v="3"/>
    <x v="4"/>
    <x v="0"/>
    <x v="0"/>
    <x v="31"/>
    <x v="0"/>
    <x v="3"/>
    <x v="4"/>
    <x v="8"/>
  </r>
  <r>
    <x v="753"/>
    <x v="0"/>
    <x v="2"/>
    <x v="21"/>
    <x v="18"/>
    <x v="28"/>
    <x v="9"/>
    <x v="0"/>
    <x v="5"/>
    <x v="4"/>
    <x v="5"/>
    <x v="0"/>
    <x v="0"/>
    <x v="24"/>
    <x v="5"/>
    <x v="4"/>
    <x v="5"/>
    <x v="3"/>
  </r>
  <r>
    <x v="754"/>
    <x v="3"/>
    <x v="0"/>
    <x v="9"/>
    <x v="24"/>
    <x v="25"/>
    <x v="15"/>
    <x v="0"/>
    <x v="0"/>
    <x v="4"/>
    <x v="5"/>
    <x v="0"/>
    <x v="0"/>
    <x v="11"/>
    <x v="0"/>
    <x v="4"/>
    <x v="5"/>
    <x v="5"/>
  </r>
  <r>
    <x v="755"/>
    <x v="1"/>
    <x v="0"/>
    <x v="25"/>
    <x v="15"/>
    <x v="5"/>
    <x v="31"/>
    <x v="0"/>
    <x v="0"/>
    <x v="4"/>
    <x v="4"/>
    <x v="0"/>
    <x v="0"/>
    <x v="41"/>
    <x v="0"/>
    <x v="4"/>
    <x v="4"/>
    <x v="7"/>
  </r>
  <r>
    <x v="756"/>
    <x v="0"/>
    <x v="2"/>
    <x v="19"/>
    <x v="4"/>
    <x v="22"/>
    <x v="11"/>
    <x v="0"/>
    <x v="5"/>
    <x v="3"/>
    <x v="0"/>
    <x v="0"/>
    <x v="0"/>
    <x v="31"/>
    <x v="5"/>
    <x v="3"/>
    <x v="0"/>
    <x v="11"/>
  </r>
  <r>
    <x v="757"/>
    <x v="2"/>
    <x v="2"/>
    <x v="27"/>
    <x v="1"/>
    <x v="11"/>
    <x v="29"/>
    <x v="0"/>
    <x v="3"/>
    <x v="0"/>
    <x v="1"/>
    <x v="0"/>
    <x v="0"/>
    <x v="42"/>
    <x v="3"/>
    <x v="0"/>
    <x v="1"/>
    <x v="5"/>
  </r>
  <r>
    <x v="758"/>
    <x v="0"/>
    <x v="2"/>
    <x v="2"/>
    <x v="33"/>
    <x v="29"/>
    <x v="36"/>
    <x v="0"/>
    <x v="4"/>
    <x v="3"/>
    <x v="3"/>
    <x v="0"/>
    <x v="0"/>
    <x v="22"/>
    <x v="4"/>
    <x v="3"/>
    <x v="3"/>
    <x v="5"/>
  </r>
  <r>
    <x v="759"/>
    <x v="2"/>
    <x v="1"/>
    <x v="17"/>
    <x v="2"/>
    <x v="2"/>
    <x v="2"/>
    <x v="1"/>
    <x v="2"/>
    <x v="2"/>
    <x v="2"/>
    <x v="1"/>
    <x v="4"/>
    <x v="2"/>
    <x v="2"/>
    <x v="2"/>
    <x v="2"/>
    <x v="2"/>
  </r>
  <r>
    <x v="760"/>
    <x v="2"/>
    <x v="2"/>
    <x v="21"/>
    <x v="16"/>
    <x v="28"/>
    <x v="33"/>
    <x v="0"/>
    <x v="1"/>
    <x v="3"/>
    <x v="3"/>
    <x v="0"/>
    <x v="0"/>
    <x v="30"/>
    <x v="1"/>
    <x v="3"/>
    <x v="3"/>
    <x v="0"/>
  </r>
  <r>
    <x v="761"/>
    <x v="0"/>
    <x v="0"/>
    <x v="7"/>
    <x v="6"/>
    <x v="29"/>
    <x v="31"/>
    <x v="0"/>
    <x v="3"/>
    <x v="4"/>
    <x v="6"/>
    <x v="0"/>
    <x v="0"/>
    <x v="29"/>
    <x v="3"/>
    <x v="4"/>
    <x v="6"/>
    <x v="1"/>
  </r>
  <r>
    <x v="762"/>
    <x v="3"/>
    <x v="1"/>
    <x v="11"/>
    <x v="2"/>
    <x v="2"/>
    <x v="2"/>
    <x v="1"/>
    <x v="2"/>
    <x v="2"/>
    <x v="2"/>
    <x v="1"/>
    <x v="3"/>
    <x v="2"/>
    <x v="2"/>
    <x v="2"/>
    <x v="2"/>
    <x v="2"/>
  </r>
  <r>
    <x v="763"/>
    <x v="2"/>
    <x v="0"/>
    <x v="9"/>
    <x v="24"/>
    <x v="11"/>
    <x v="32"/>
    <x v="0"/>
    <x v="0"/>
    <x v="5"/>
    <x v="6"/>
    <x v="1"/>
    <x v="4"/>
    <x v="2"/>
    <x v="0"/>
    <x v="5"/>
    <x v="6"/>
    <x v="2"/>
  </r>
  <r>
    <x v="764"/>
    <x v="3"/>
    <x v="1"/>
    <x v="26"/>
    <x v="2"/>
    <x v="2"/>
    <x v="2"/>
    <x v="1"/>
    <x v="2"/>
    <x v="2"/>
    <x v="2"/>
    <x v="1"/>
    <x v="2"/>
    <x v="2"/>
    <x v="2"/>
    <x v="2"/>
    <x v="2"/>
    <x v="2"/>
  </r>
  <r>
    <x v="765"/>
    <x v="1"/>
    <x v="0"/>
    <x v="15"/>
    <x v="28"/>
    <x v="0"/>
    <x v="26"/>
    <x v="0"/>
    <x v="0"/>
    <x v="4"/>
    <x v="6"/>
    <x v="0"/>
    <x v="0"/>
    <x v="14"/>
    <x v="0"/>
    <x v="4"/>
    <x v="6"/>
    <x v="10"/>
  </r>
  <r>
    <x v="766"/>
    <x v="2"/>
    <x v="1"/>
    <x v="26"/>
    <x v="2"/>
    <x v="2"/>
    <x v="2"/>
    <x v="1"/>
    <x v="2"/>
    <x v="2"/>
    <x v="2"/>
    <x v="1"/>
    <x v="5"/>
    <x v="2"/>
    <x v="2"/>
    <x v="2"/>
    <x v="2"/>
    <x v="2"/>
  </r>
  <r>
    <x v="767"/>
    <x v="3"/>
    <x v="2"/>
    <x v="17"/>
    <x v="1"/>
    <x v="20"/>
    <x v="12"/>
    <x v="0"/>
    <x v="5"/>
    <x v="5"/>
    <x v="0"/>
    <x v="0"/>
    <x v="0"/>
    <x v="15"/>
    <x v="5"/>
    <x v="5"/>
    <x v="0"/>
    <x v="6"/>
  </r>
  <r>
    <x v="768"/>
    <x v="3"/>
    <x v="2"/>
    <x v="23"/>
    <x v="31"/>
    <x v="26"/>
    <x v="26"/>
    <x v="0"/>
    <x v="1"/>
    <x v="0"/>
    <x v="1"/>
    <x v="0"/>
    <x v="0"/>
    <x v="19"/>
    <x v="1"/>
    <x v="0"/>
    <x v="1"/>
    <x v="8"/>
  </r>
  <r>
    <x v="769"/>
    <x v="1"/>
    <x v="0"/>
    <x v="27"/>
    <x v="14"/>
    <x v="1"/>
    <x v="1"/>
    <x v="0"/>
    <x v="4"/>
    <x v="0"/>
    <x v="1"/>
    <x v="0"/>
    <x v="0"/>
    <x v="25"/>
    <x v="4"/>
    <x v="0"/>
    <x v="1"/>
    <x v="6"/>
  </r>
  <r>
    <x v="770"/>
    <x v="3"/>
    <x v="1"/>
    <x v="5"/>
    <x v="2"/>
    <x v="2"/>
    <x v="2"/>
    <x v="1"/>
    <x v="2"/>
    <x v="2"/>
    <x v="2"/>
    <x v="1"/>
    <x v="2"/>
    <x v="2"/>
    <x v="2"/>
    <x v="2"/>
    <x v="2"/>
    <x v="2"/>
  </r>
  <r>
    <x v="771"/>
    <x v="3"/>
    <x v="1"/>
    <x v="0"/>
    <x v="2"/>
    <x v="2"/>
    <x v="2"/>
    <x v="1"/>
    <x v="2"/>
    <x v="2"/>
    <x v="2"/>
    <x v="1"/>
    <x v="1"/>
    <x v="2"/>
    <x v="2"/>
    <x v="2"/>
    <x v="2"/>
    <x v="2"/>
  </r>
  <r>
    <x v="772"/>
    <x v="1"/>
    <x v="2"/>
    <x v="8"/>
    <x v="32"/>
    <x v="39"/>
    <x v="34"/>
    <x v="0"/>
    <x v="5"/>
    <x v="1"/>
    <x v="6"/>
    <x v="0"/>
    <x v="0"/>
    <x v="51"/>
    <x v="5"/>
    <x v="1"/>
    <x v="6"/>
    <x v="8"/>
  </r>
  <r>
    <x v="773"/>
    <x v="2"/>
    <x v="2"/>
    <x v="9"/>
    <x v="7"/>
    <x v="24"/>
    <x v="1"/>
    <x v="0"/>
    <x v="5"/>
    <x v="1"/>
    <x v="6"/>
    <x v="0"/>
    <x v="0"/>
    <x v="12"/>
    <x v="5"/>
    <x v="1"/>
    <x v="6"/>
    <x v="10"/>
  </r>
  <r>
    <x v="774"/>
    <x v="3"/>
    <x v="1"/>
    <x v="7"/>
    <x v="2"/>
    <x v="2"/>
    <x v="2"/>
    <x v="1"/>
    <x v="2"/>
    <x v="2"/>
    <x v="2"/>
    <x v="1"/>
    <x v="3"/>
    <x v="2"/>
    <x v="2"/>
    <x v="2"/>
    <x v="2"/>
    <x v="2"/>
  </r>
  <r>
    <x v="775"/>
    <x v="3"/>
    <x v="2"/>
    <x v="26"/>
    <x v="9"/>
    <x v="0"/>
    <x v="0"/>
    <x v="0"/>
    <x v="4"/>
    <x v="1"/>
    <x v="0"/>
    <x v="0"/>
    <x v="0"/>
    <x v="21"/>
    <x v="4"/>
    <x v="1"/>
    <x v="0"/>
    <x v="4"/>
  </r>
  <r>
    <x v="776"/>
    <x v="3"/>
    <x v="0"/>
    <x v="24"/>
    <x v="21"/>
    <x v="23"/>
    <x v="27"/>
    <x v="0"/>
    <x v="4"/>
    <x v="0"/>
    <x v="6"/>
    <x v="0"/>
    <x v="0"/>
    <x v="42"/>
    <x v="4"/>
    <x v="0"/>
    <x v="6"/>
    <x v="10"/>
  </r>
  <r>
    <x v="777"/>
    <x v="0"/>
    <x v="1"/>
    <x v="6"/>
    <x v="2"/>
    <x v="2"/>
    <x v="2"/>
    <x v="1"/>
    <x v="2"/>
    <x v="2"/>
    <x v="2"/>
    <x v="1"/>
    <x v="4"/>
    <x v="2"/>
    <x v="2"/>
    <x v="2"/>
    <x v="2"/>
    <x v="2"/>
  </r>
  <r>
    <x v="778"/>
    <x v="1"/>
    <x v="0"/>
    <x v="2"/>
    <x v="6"/>
    <x v="29"/>
    <x v="36"/>
    <x v="0"/>
    <x v="0"/>
    <x v="4"/>
    <x v="3"/>
    <x v="0"/>
    <x v="0"/>
    <x v="22"/>
    <x v="0"/>
    <x v="4"/>
    <x v="3"/>
    <x v="9"/>
  </r>
  <r>
    <x v="779"/>
    <x v="0"/>
    <x v="0"/>
    <x v="18"/>
    <x v="0"/>
    <x v="26"/>
    <x v="5"/>
    <x v="0"/>
    <x v="5"/>
    <x v="4"/>
    <x v="4"/>
    <x v="0"/>
    <x v="0"/>
    <x v="14"/>
    <x v="5"/>
    <x v="4"/>
    <x v="4"/>
    <x v="0"/>
  </r>
  <r>
    <x v="780"/>
    <x v="1"/>
    <x v="0"/>
    <x v="10"/>
    <x v="11"/>
    <x v="31"/>
    <x v="0"/>
    <x v="0"/>
    <x v="3"/>
    <x v="4"/>
    <x v="3"/>
    <x v="0"/>
    <x v="0"/>
    <x v="23"/>
    <x v="3"/>
    <x v="4"/>
    <x v="3"/>
    <x v="0"/>
  </r>
  <r>
    <x v="781"/>
    <x v="2"/>
    <x v="2"/>
    <x v="8"/>
    <x v="10"/>
    <x v="4"/>
    <x v="4"/>
    <x v="0"/>
    <x v="3"/>
    <x v="3"/>
    <x v="3"/>
    <x v="0"/>
    <x v="0"/>
    <x v="31"/>
    <x v="3"/>
    <x v="3"/>
    <x v="3"/>
    <x v="8"/>
  </r>
  <r>
    <x v="782"/>
    <x v="2"/>
    <x v="1"/>
    <x v="21"/>
    <x v="2"/>
    <x v="2"/>
    <x v="2"/>
    <x v="1"/>
    <x v="2"/>
    <x v="2"/>
    <x v="2"/>
    <x v="1"/>
    <x v="1"/>
    <x v="2"/>
    <x v="2"/>
    <x v="2"/>
    <x v="2"/>
    <x v="2"/>
  </r>
  <r>
    <x v="783"/>
    <x v="3"/>
    <x v="0"/>
    <x v="1"/>
    <x v="24"/>
    <x v="3"/>
    <x v="33"/>
    <x v="0"/>
    <x v="5"/>
    <x v="1"/>
    <x v="5"/>
    <x v="0"/>
    <x v="0"/>
    <x v="42"/>
    <x v="5"/>
    <x v="1"/>
    <x v="5"/>
    <x v="3"/>
  </r>
  <r>
    <x v="784"/>
    <x v="1"/>
    <x v="1"/>
    <x v="20"/>
    <x v="2"/>
    <x v="2"/>
    <x v="2"/>
    <x v="1"/>
    <x v="2"/>
    <x v="2"/>
    <x v="2"/>
    <x v="1"/>
    <x v="4"/>
    <x v="2"/>
    <x v="2"/>
    <x v="2"/>
    <x v="2"/>
    <x v="2"/>
  </r>
  <r>
    <x v="785"/>
    <x v="2"/>
    <x v="2"/>
    <x v="18"/>
    <x v="31"/>
    <x v="16"/>
    <x v="29"/>
    <x v="0"/>
    <x v="4"/>
    <x v="4"/>
    <x v="4"/>
    <x v="0"/>
    <x v="0"/>
    <x v="12"/>
    <x v="4"/>
    <x v="4"/>
    <x v="4"/>
    <x v="11"/>
  </r>
  <r>
    <x v="786"/>
    <x v="1"/>
    <x v="1"/>
    <x v="24"/>
    <x v="2"/>
    <x v="2"/>
    <x v="2"/>
    <x v="1"/>
    <x v="2"/>
    <x v="2"/>
    <x v="2"/>
    <x v="1"/>
    <x v="5"/>
    <x v="2"/>
    <x v="2"/>
    <x v="2"/>
    <x v="2"/>
    <x v="2"/>
  </r>
  <r>
    <x v="787"/>
    <x v="2"/>
    <x v="0"/>
    <x v="0"/>
    <x v="9"/>
    <x v="0"/>
    <x v="17"/>
    <x v="0"/>
    <x v="1"/>
    <x v="1"/>
    <x v="3"/>
    <x v="0"/>
    <x v="0"/>
    <x v="1"/>
    <x v="1"/>
    <x v="1"/>
    <x v="3"/>
    <x v="9"/>
  </r>
  <r>
    <x v="788"/>
    <x v="0"/>
    <x v="2"/>
    <x v="25"/>
    <x v="6"/>
    <x v="13"/>
    <x v="28"/>
    <x v="0"/>
    <x v="4"/>
    <x v="1"/>
    <x v="4"/>
    <x v="0"/>
    <x v="0"/>
    <x v="46"/>
    <x v="4"/>
    <x v="1"/>
    <x v="4"/>
    <x v="9"/>
  </r>
  <r>
    <x v="789"/>
    <x v="2"/>
    <x v="2"/>
    <x v="0"/>
    <x v="18"/>
    <x v="26"/>
    <x v="21"/>
    <x v="0"/>
    <x v="4"/>
    <x v="3"/>
    <x v="3"/>
    <x v="0"/>
    <x v="0"/>
    <x v="19"/>
    <x v="4"/>
    <x v="3"/>
    <x v="3"/>
    <x v="9"/>
  </r>
  <r>
    <x v="790"/>
    <x v="0"/>
    <x v="0"/>
    <x v="5"/>
    <x v="11"/>
    <x v="22"/>
    <x v="11"/>
    <x v="0"/>
    <x v="1"/>
    <x v="0"/>
    <x v="0"/>
    <x v="0"/>
    <x v="0"/>
    <x v="6"/>
    <x v="1"/>
    <x v="0"/>
    <x v="0"/>
    <x v="7"/>
  </r>
  <r>
    <x v="791"/>
    <x v="2"/>
    <x v="0"/>
    <x v="11"/>
    <x v="7"/>
    <x v="11"/>
    <x v="15"/>
    <x v="0"/>
    <x v="4"/>
    <x v="4"/>
    <x v="0"/>
    <x v="0"/>
    <x v="0"/>
    <x v="15"/>
    <x v="4"/>
    <x v="4"/>
    <x v="0"/>
    <x v="1"/>
  </r>
  <r>
    <x v="792"/>
    <x v="3"/>
    <x v="1"/>
    <x v="20"/>
    <x v="2"/>
    <x v="2"/>
    <x v="2"/>
    <x v="1"/>
    <x v="2"/>
    <x v="2"/>
    <x v="2"/>
    <x v="1"/>
    <x v="5"/>
    <x v="2"/>
    <x v="2"/>
    <x v="2"/>
    <x v="2"/>
    <x v="2"/>
  </r>
  <r>
    <x v="793"/>
    <x v="0"/>
    <x v="2"/>
    <x v="12"/>
    <x v="25"/>
    <x v="0"/>
    <x v="26"/>
    <x v="0"/>
    <x v="1"/>
    <x v="3"/>
    <x v="6"/>
    <x v="0"/>
    <x v="0"/>
    <x v="12"/>
    <x v="1"/>
    <x v="3"/>
    <x v="6"/>
    <x v="10"/>
  </r>
  <r>
    <x v="794"/>
    <x v="2"/>
    <x v="2"/>
    <x v="29"/>
    <x v="14"/>
    <x v="1"/>
    <x v="3"/>
    <x v="0"/>
    <x v="5"/>
    <x v="0"/>
    <x v="0"/>
    <x v="0"/>
    <x v="0"/>
    <x v="5"/>
    <x v="5"/>
    <x v="0"/>
    <x v="0"/>
    <x v="4"/>
  </r>
  <r>
    <x v="795"/>
    <x v="3"/>
    <x v="0"/>
    <x v="0"/>
    <x v="9"/>
    <x v="8"/>
    <x v="9"/>
    <x v="0"/>
    <x v="1"/>
    <x v="0"/>
    <x v="4"/>
    <x v="0"/>
    <x v="0"/>
    <x v="19"/>
    <x v="1"/>
    <x v="0"/>
    <x v="4"/>
    <x v="8"/>
  </r>
  <r>
    <x v="796"/>
    <x v="0"/>
    <x v="0"/>
    <x v="4"/>
    <x v="14"/>
    <x v="20"/>
    <x v="32"/>
    <x v="0"/>
    <x v="3"/>
    <x v="4"/>
    <x v="5"/>
    <x v="0"/>
    <x v="0"/>
    <x v="26"/>
    <x v="3"/>
    <x v="4"/>
    <x v="5"/>
    <x v="1"/>
  </r>
  <r>
    <x v="797"/>
    <x v="3"/>
    <x v="0"/>
    <x v="7"/>
    <x v="15"/>
    <x v="14"/>
    <x v="14"/>
    <x v="0"/>
    <x v="1"/>
    <x v="1"/>
    <x v="6"/>
    <x v="0"/>
    <x v="0"/>
    <x v="9"/>
    <x v="1"/>
    <x v="1"/>
    <x v="6"/>
    <x v="11"/>
  </r>
  <r>
    <x v="798"/>
    <x v="1"/>
    <x v="1"/>
    <x v="13"/>
    <x v="2"/>
    <x v="2"/>
    <x v="2"/>
    <x v="1"/>
    <x v="2"/>
    <x v="2"/>
    <x v="2"/>
    <x v="1"/>
    <x v="5"/>
    <x v="2"/>
    <x v="2"/>
    <x v="2"/>
    <x v="2"/>
    <x v="2"/>
  </r>
  <r>
    <x v="799"/>
    <x v="1"/>
    <x v="1"/>
    <x v="30"/>
    <x v="2"/>
    <x v="2"/>
    <x v="2"/>
    <x v="1"/>
    <x v="2"/>
    <x v="2"/>
    <x v="2"/>
    <x v="1"/>
    <x v="4"/>
    <x v="2"/>
    <x v="2"/>
    <x v="2"/>
    <x v="2"/>
    <x v="2"/>
  </r>
  <r>
    <x v="800"/>
    <x v="0"/>
    <x v="1"/>
    <x v="8"/>
    <x v="2"/>
    <x v="2"/>
    <x v="2"/>
    <x v="1"/>
    <x v="2"/>
    <x v="2"/>
    <x v="2"/>
    <x v="1"/>
    <x v="1"/>
    <x v="2"/>
    <x v="2"/>
    <x v="2"/>
    <x v="2"/>
    <x v="2"/>
  </r>
  <r>
    <x v="801"/>
    <x v="2"/>
    <x v="0"/>
    <x v="30"/>
    <x v="26"/>
    <x v="29"/>
    <x v="36"/>
    <x v="0"/>
    <x v="4"/>
    <x v="5"/>
    <x v="3"/>
    <x v="1"/>
    <x v="5"/>
    <x v="2"/>
    <x v="4"/>
    <x v="5"/>
    <x v="3"/>
    <x v="2"/>
  </r>
  <r>
    <x v="802"/>
    <x v="0"/>
    <x v="0"/>
    <x v="29"/>
    <x v="14"/>
    <x v="6"/>
    <x v="29"/>
    <x v="0"/>
    <x v="5"/>
    <x v="1"/>
    <x v="0"/>
    <x v="0"/>
    <x v="0"/>
    <x v="1"/>
    <x v="5"/>
    <x v="1"/>
    <x v="0"/>
    <x v="4"/>
  </r>
  <r>
    <x v="803"/>
    <x v="3"/>
    <x v="0"/>
    <x v="6"/>
    <x v="22"/>
    <x v="28"/>
    <x v="5"/>
    <x v="0"/>
    <x v="1"/>
    <x v="1"/>
    <x v="6"/>
    <x v="0"/>
    <x v="0"/>
    <x v="8"/>
    <x v="1"/>
    <x v="1"/>
    <x v="6"/>
    <x v="10"/>
  </r>
  <r>
    <x v="804"/>
    <x v="2"/>
    <x v="0"/>
    <x v="7"/>
    <x v="13"/>
    <x v="5"/>
    <x v="39"/>
    <x v="0"/>
    <x v="4"/>
    <x v="5"/>
    <x v="0"/>
    <x v="0"/>
    <x v="0"/>
    <x v="46"/>
    <x v="4"/>
    <x v="5"/>
    <x v="0"/>
    <x v="3"/>
  </r>
  <r>
    <x v="805"/>
    <x v="1"/>
    <x v="1"/>
    <x v="7"/>
    <x v="2"/>
    <x v="2"/>
    <x v="2"/>
    <x v="1"/>
    <x v="2"/>
    <x v="2"/>
    <x v="2"/>
    <x v="1"/>
    <x v="1"/>
    <x v="2"/>
    <x v="2"/>
    <x v="2"/>
    <x v="2"/>
    <x v="2"/>
  </r>
  <r>
    <x v="806"/>
    <x v="2"/>
    <x v="2"/>
    <x v="24"/>
    <x v="17"/>
    <x v="17"/>
    <x v="19"/>
    <x v="0"/>
    <x v="1"/>
    <x v="0"/>
    <x v="6"/>
    <x v="0"/>
    <x v="0"/>
    <x v="33"/>
    <x v="1"/>
    <x v="0"/>
    <x v="6"/>
    <x v="9"/>
  </r>
  <r>
    <x v="807"/>
    <x v="1"/>
    <x v="0"/>
    <x v="10"/>
    <x v="35"/>
    <x v="7"/>
    <x v="4"/>
    <x v="0"/>
    <x v="5"/>
    <x v="5"/>
    <x v="4"/>
    <x v="0"/>
    <x v="0"/>
    <x v="0"/>
    <x v="5"/>
    <x v="5"/>
    <x v="4"/>
    <x v="0"/>
  </r>
  <r>
    <x v="808"/>
    <x v="2"/>
    <x v="2"/>
    <x v="21"/>
    <x v="18"/>
    <x v="27"/>
    <x v="33"/>
    <x v="0"/>
    <x v="5"/>
    <x v="5"/>
    <x v="4"/>
    <x v="0"/>
    <x v="0"/>
    <x v="23"/>
    <x v="5"/>
    <x v="5"/>
    <x v="4"/>
    <x v="7"/>
  </r>
  <r>
    <x v="809"/>
    <x v="2"/>
    <x v="0"/>
    <x v="13"/>
    <x v="13"/>
    <x v="37"/>
    <x v="28"/>
    <x v="0"/>
    <x v="3"/>
    <x v="3"/>
    <x v="3"/>
    <x v="0"/>
    <x v="0"/>
    <x v="28"/>
    <x v="3"/>
    <x v="3"/>
    <x v="3"/>
    <x v="10"/>
  </r>
  <r>
    <x v="810"/>
    <x v="2"/>
    <x v="1"/>
    <x v="27"/>
    <x v="2"/>
    <x v="2"/>
    <x v="2"/>
    <x v="1"/>
    <x v="2"/>
    <x v="2"/>
    <x v="2"/>
    <x v="1"/>
    <x v="4"/>
    <x v="2"/>
    <x v="2"/>
    <x v="2"/>
    <x v="2"/>
    <x v="2"/>
  </r>
  <r>
    <x v="811"/>
    <x v="3"/>
    <x v="0"/>
    <x v="11"/>
    <x v="5"/>
    <x v="16"/>
    <x v="9"/>
    <x v="0"/>
    <x v="5"/>
    <x v="3"/>
    <x v="1"/>
    <x v="0"/>
    <x v="0"/>
    <x v="31"/>
    <x v="5"/>
    <x v="3"/>
    <x v="1"/>
    <x v="11"/>
  </r>
  <r>
    <x v="812"/>
    <x v="3"/>
    <x v="2"/>
    <x v="9"/>
    <x v="1"/>
    <x v="25"/>
    <x v="12"/>
    <x v="0"/>
    <x v="4"/>
    <x v="3"/>
    <x v="6"/>
    <x v="0"/>
    <x v="0"/>
    <x v="24"/>
    <x v="4"/>
    <x v="3"/>
    <x v="6"/>
    <x v="9"/>
  </r>
  <r>
    <x v="813"/>
    <x v="0"/>
    <x v="1"/>
    <x v="26"/>
    <x v="2"/>
    <x v="2"/>
    <x v="2"/>
    <x v="1"/>
    <x v="2"/>
    <x v="2"/>
    <x v="2"/>
    <x v="1"/>
    <x v="1"/>
    <x v="2"/>
    <x v="2"/>
    <x v="2"/>
    <x v="2"/>
    <x v="2"/>
  </r>
  <r>
    <x v="814"/>
    <x v="0"/>
    <x v="0"/>
    <x v="8"/>
    <x v="32"/>
    <x v="19"/>
    <x v="44"/>
    <x v="0"/>
    <x v="5"/>
    <x v="0"/>
    <x v="1"/>
    <x v="0"/>
    <x v="0"/>
    <x v="13"/>
    <x v="5"/>
    <x v="0"/>
    <x v="1"/>
    <x v="0"/>
  </r>
  <r>
    <x v="815"/>
    <x v="1"/>
    <x v="2"/>
    <x v="15"/>
    <x v="23"/>
    <x v="31"/>
    <x v="4"/>
    <x v="0"/>
    <x v="5"/>
    <x v="5"/>
    <x v="1"/>
    <x v="0"/>
    <x v="0"/>
    <x v="13"/>
    <x v="5"/>
    <x v="5"/>
    <x v="1"/>
    <x v="7"/>
  </r>
  <r>
    <x v="816"/>
    <x v="3"/>
    <x v="2"/>
    <x v="12"/>
    <x v="0"/>
    <x v="26"/>
    <x v="17"/>
    <x v="0"/>
    <x v="4"/>
    <x v="4"/>
    <x v="5"/>
    <x v="1"/>
    <x v="4"/>
    <x v="2"/>
    <x v="4"/>
    <x v="4"/>
    <x v="5"/>
    <x v="2"/>
  </r>
  <r>
    <x v="817"/>
    <x v="1"/>
    <x v="2"/>
    <x v="8"/>
    <x v="34"/>
    <x v="4"/>
    <x v="13"/>
    <x v="0"/>
    <x v="4"/>
    <x v="5"/>
    <x v="4"/>
    <x v="0"/>
    <x v="0"/>
    <x v="16"/>
    <x v="4"/>
    <x v="5"/>
    <x v="4"/>
    <x v="1"/>
  </r>
  <r>
    <x v="818"/>
    <x v="0"/>
    <x v="2"/>
    <x v="21"/>
    <x v="18"/>
    <x v="18"/>
    <x v="9"/>
    <x v="0"/>
    <x v="5"/>
    <x v="0"/>
    <x v="3"/>
    <x v="0"/>
    <x v="0"/>
    <x v="5"/>
    <x v="5"/>
    <x v="0"/>
    <x v="3"/>
    <x v="1"/>
  </r>
  <r>
    <x v="819"/>
    <x v="1"/>
    <x v="1"/>
    <x v="4"/>
    <x v="2"/>
    <x v="2"/>
    <x v="2"/>
    <x v="1"/>
    <x v="2"/>
    <x v="2"/>
    <x v="2"/>
    <x v="1"/>
    <x v="4"/>
    <x v="2"/>
    <x v="2"/>
    <x v="2"/>
    <x v="2"/>
    <x v="2"/>
  </r>
  <r>
    <x v="820"/>
    <x v="0"/>
    <x v="0"/>
    <x v="23"/>
    <x v="9"/>
    <x v="18"/>
    <x v="24"/>
    <x v="0"/>
    <x v="5"/>
    <x v="3"/>
    <x v="6"/>
    <x v="0"/>
    <x v="0"/>
    <x v="21"/>
    <x v="5"/>
    <x v="3"/>
    <x v="6"/>
    <x v="0"/>
  </r>
  <r>
    <x v="821"/>
    <x v="3"/>
    <x v="1"/>
    <x v="15"/>
    <x v="2"/>
    <x v="2"/>
    <x v="2"/>
    <x v="1"/>
    <x v="2"/>
    <x v="2"/>
    <x v="2"/>
    <x v="1"/>
    <x v="3"/>
    <x v="2"/>
    <x v="2"/>
    <x v="2"/>
    <x v="2"/>
    <x v="2"/>
  </r>
  <r>
    <x v="822"/>
    <x v="2"/>
    <x v="0"/>
    <x v="15"/>
    <x v="12"/>
    <x v="31"/>
    <x v="0"/>
    <x v="0"/>
    <x v="1"/>
    <x v="0"/>
    <x v="3"/>
    <x v="0"/>
    <x v="0"/>
    <x v="25"/>
    <x v="1"/>
    <x v="0"/>
    <x v="3"/>
    <x v="9"/>
  </r>
  <r>
    <x v="823"/>
    <x v="3"/>
    <x v="2"/>
    <x v="13"/>
    <x v="21"/>
    <x v="21"/>
    <x v="6"/>
    <x v="0"/>
    <x v="5"/>
    <x v="3"/>
    <x v="4"/>
    <x v="0"/>
    <x v="0"/>
    <x v="46"/>
    <x v="5"/>
    <x v="3"/>
    <x v="4"/>
    <x v="8"/>
  </r>
  <r>
    <x v="824"/>
    <x v="1"/>
    <x v="0"/>
    <x v="10"/>
    <x v="11"/>
    <x v="22"/>
    <x v="8"/>
    <x v="0"/>
    <x v="3"/>
    <x v="0"/>
    <x v="1"/>
    <x v="1"/>
    <x v="4"/>
    <x v="2"/>
    <x v="3"/>
    <x v="0"/>
    <x v="1"/>
    <x v="2"/>
  </r>
  <r>
    <x v="825"/>
    <x v="1"/>
    <x v="2"/>
    <x v="4"/>
    <x v="14"/>
    <x v="20"/>
    <x v="19"/>
    <x v="0"/>
    <x v="3"/>
    <x v="4"/>
    <x v="3"/>
    <x v="0"/>
    <x v="0"/>
    <x v="10"/>
    <x v="3"/>
    <x v="4"/>
    <x v="3"/>
    <x v="9"/>
  </r>
  <r>
    <x v="826"/>
    <x v="3"/>
    <x v="0"/>
    <x v="0"/>
    <x v="31"/>
    <x v="27"/>
    <x v="21"/>
    <x v="0"/>
    <x v="3"/>
    <x v="3"/>
    <x v="6"/>
    <x v="0"/>
    <x v="0"/>
    <x v="32"/>
    <x v="3"/>
    <x v="3"/>
    <x v="6"/>
    <x v="5"/>
  </r>
  <r>
    <x v="827"/>
    <x v="3"/>
    <x v="1"/>
    <x v="7"/>
    <x v="2"/>
    <x v="2"/>
    <x v="2"/>
    <x v="1"/>
    <x v="2"/>
    <x v="2"/>
    <x v="2"/>
    <x v="1"/>
    <x v="4"/>
    <x v="2"/>
    <x v="2"/>
    <x v="2"/>
    <x v="2"/>
    <x v="2"/>
  </r>
  <r>
    <x v="828"/>
    <x v="0"/>
    <x v="0"/>
    <x v="5"/>
    <x v="28"/>
    <x v="31"/>
    <x v="18"/>
    <x v="0"/>
    <x v="3"/>
    <x v="3"/>
    <x v="0"/>
    <x v="0"/>
    <x v="0"/>
    <x v="42"/>
    <x v="3"/>
    <x v="3"/>
    <x v="0"/>
    <x v="0"/>
  </r>
  <r>
    <x v="829"/>
    <x v="1"/>
    <x v="0"/>
    <x v="6"/>
    <x v="16"/>
    <x v="16"/>
    <x v="21"/>
    <x v="0"/>
    <x v="5"/>
    <x v="5"/>
    <x v="5"/>
    <x v="1"/>
    <x v="2"/>
    <x v="2"/>
    <x v="5"/>
    <x v="5"/>
    <x v="5"/>
    <x v="2"/>
  </r>
  <r>
    <x v="830"/>
    <x v="1"/>
    <x v="2"/>
    <x v="18"/>
    <x v="18"/>
    <x v="18"/>
    <x v="21"/>
    <x v="0"/>
    <x v="1"/>
    <x v="0"/>
    <x v="4"/>
    <x v="1"/>
    <x v="5"/>
    <x v="2"/>
    <x v="1"/>
    <x v="0"/>
    <x v="4"/>
    <x v="2"/>
  </r>
  <r>
    <x v="831"/>
    <x v="3"/>
    <x v="2"/>
    <x v="4"/>
    <x v="24"/>
    <x v="3"/>
    <x v="5"/>
    <x v="0"/>
    <x v="4"/>
    <x v="1"/>
    <x v="1"/>
    <x v="0"/>
    <x v="0"/>
    <x v="5"/>
    <x v="4"/>
    <x v="1"/>
    <x v="1"/>
    <x v="3"/>
  </r>
  <r>
    <x v="832"/>
    <x v="2"/>
    <x v="2"/>
    <x v="8"/>
    <x v="32"/>
    <x v="39"/>
    <x v="34"/>
    <x v="0"/>
    <x v="5"/>
    <x v="1"/>
    <x v="6"/>
    <x v="0"/>
    <x v="0"/>
    <x v="7"/>
    <x v="5"/>
    <x v="1"/>
    <x v="6"/>
    <x v="3"/>
  </r>
  <r>
    <x v="833"/>
    <x v="1"/>
    <x v="0"/>
    <x v="8"/>
    <x v="8"/>
    <x v="9"/>
    <x v="8"/>
    <x v="0"/>
    <x v="0"/>
    <x v="5"/>
    <x v="6"/>
    <x v="0"/>
    <x v="0"/>
    <x v="13"/>
    <x v="0"/>
    <x v="5"/>
    <x v="6"/>
    <x v="5"/>
  </r>
  <r>
    <x v="834"/>
    <x v="2"/>
    <x v="2"/>
    <x v="17"/>
    <x v="1"/>
    <x v="11"/>
    <x v="12"/>
    <x v="0"/>
    <x v="5"/>
    <x v="0"/>
    <x v="3"/>
    <x v="0"/>
    <x v="0"/>
    <x v="3"/>
    <x v="5"/>
    <x v="0"/>
    <x v="3"/>
    <x v="1"/>
  </r>
  <r>
    <x v="835"/>
    <x v="3"/>
    <x v="0"/>
    <x v="30"/>
    <x v="33"/>
    <x v="34"/>
    <x v="42"/>
    <x v="0"/>
    <x v="3"/>
    <x v="4"/>
    <x v="4"/>
    <x v="1"/>
    <x v="3"/>
    <x v="2"/>
    <x v="3"/>
    <x v="4"/>
    <x v="4"/>
    <x v="2"/>
  </r>
  <r>
    <x v="836"/>
    <x v="3"/>
    <x v="0"/>
    <x v="12"/>
    <x v="12"/>
    <x v="0"/>
    <x v="0"/>
    <x v="0"/>
    <x v="0"/>
    <x v="5"/>
    <x v="0"/>
    <x v="0"/>
    <x v="0"/>
    <x v="42"/>
    <x v="0"/>
    <x v="5"/>
    <x v="0"/>
    <x v="0"/>
  </r>
  <r>
    <x v="837"/>
    <x v="0"/>
    <x v="0"/>
    <x v="9"/>
    <x v="7"/>
    <x v="6"/>
    <x v="29"/>
    <x v="0"/>
    <x v="5"/>
    <x v="3"/>
    <x v="0"/>
    <x v="0"/>
    <x v="0"/>
    <x v="31"/>
    <x v="5"/>
    <x v="3"/>
    <x v="0"/>
    <x v="5"/>
  </r>
  <r>
    <x v="838"/>
    <x v="1"/>
    <x v="2"/>
    <x v="28"/>
    <x v="21"/>
    <x v="30"/>
    <x v="16"/>
    <x v="0"/>
    <x v="1"/>
    <x v="4"/>
    <x v="5"/>
    <x v="0"/>
    <x v="0"/>
    <x v="22"/>
    <x v="1"/>
    <x v="4"/>
    <x v="5"/>
    <x v="5"/>
  </r>
  <r>
    <x v="839"/>
    <x v="2"/>
    <x v="2"/>
    <x v="11"/>
    <x v="3"/>
    <x v="24"/>
    <x v="21"/>
    <x v="0"/>
    <x v="1"/>
    <x v="0"/>
    <x v="1"/>
    <x v="0"/>
    <x v="0"/>
    <x v="8"/>
    <x v="1"/>
    <x v="0"/>
    <x v="1"/>
    <x v="3"/>
  </r>
  <r>
    <x v="840"/>
    <x v="0"/>
    <x v="1"/>
    <x v="11"/>
    <x v="2"/>
    <x v="2"/>
    <x v="2"/>
    <x v="1"/>
    <x v="2"/>
    <x v="2"/>
    <x v="2"/>
    <x v="1"/>
    <x v="3"/>
    <x v="2"/>
    <x v="2"/>
    <x v="2"/>
    <x v="2"/>
    <x v="2"/>
  </r>
  <r>
    <x v="841"/>
    <x v="1"/>
    <x v="0"/>
    <x v="8"/>
    <x v="8"/>
    <x v="38"/>
    <x v="10"/>
    <x v="0"/>
    <x v="0"/>
    <x v="3"/>
    <x v="5"/>
    <x v="0"/>
    <x v="0"/>
    <x v="43"/>
    <x v="0"/>
    <x v="3"/>
    <x v="5"/>
    <x v="3"/>
  </r>
  <r>
    <x v="842"/>
    <x v="0"/>
    <x v="0"/>
    <x v="24"/>
    <x v="21"/>
    <x v="17"/>
    <x v="27"/>
    <x v="0"/>
    <x v="4"/>
    <x v="1"/>
    <x v="3"/>
    <x v="0"/>
    <x v="0"/>
    <x v="39"/>
    <x v="4"/>
    <x v="1"/>
    <x v="3"/>
    <x v="6"/>
  </r>
  <r>
    <x v="843"/>
    <x v="3"/>
    <x v="2"/>
    <x v="3"/>
    <x v="10"/>
    <x v="7"/>
    <x v="4"/>
    <x v="0"/>
    <x v="0"/>
    <x v="0"/>
    <x v="4"/>
    <x v="1"/>
    <x v="3"/>
    <x v="2"/>
    <x v="0"/>
    <x v="0"/>
    <x v="4"/>
    <x v="2"/>
  </r>
  <r>
    <x v="844"/>
    <x v="1"/>
    <x v="1"/>
    <x v="9"/>
    <x v="2"/>
    <x v="2"/>
    <x v="2"/>
    <x v="1"/>
    <x v="2"/>
    <x v="2"/>
    <x v="2"/>
    <x v="1"/>
    <x v="2"/>
    <x v="2"/>
    <x v="2"/>
    <x v="2"/>
    <x v="2"/>
    <x v="2"/>
  </r>
  <r>
    <x v="845"/>
    <x v="0"/>
    <x v="0"/>
    <x v="7"/>
    <x v="15"/>
    <x v="13"/>
    <x v="6"/>
    <x v="0"/>
    <x v="1"/>
    <x v="3"/>
    <x v="0"/>
    <x v="0"/>
    <x v="0"/>
    <x v="25"/>
    <x v="1"/>
    <x v="3"/>
    <x v="0"/>
    <x v="11"/>
  </r>
  <r>
    <x v="846"/>
    <x v="0"/>
    <x v="0"/>
    <x v="26"/>
    <x v="25"/>
    <x v="15"/>
    <x v="17"/>
    <x v="0"/>
    <x v="0"/>
    <x v="0"/>
    <x v="4"/>
    <x v="0"/>
    <x v="0"/>
    <x v="11"/>
    <x v="0"/>
    <x v="0"/>
    <x v="4"/>
    <x v="9"/>
  </r>
  <r>
    <x v="847"/>
    <x v="2"/>
    <x v="1"/>
    <x v="9"/>
    <x v="2"/>
    <x v="2"/>
    <x v="2"/>
    <x v="1"/>
    <x v="2"/>
    <x v="2"/>
    <x v="2"/>
    <x v="1"/>
    <x v="4"/>
    <x v="2"/>
    <x v="2"/>
    <x v="2"/>
    <x v="2"/>
    <x v="2"/>
  </r>
  <r>
    <x v="848"/>
    <x v="0"/>
    <x v="2"/>
    <x v="21"/>
    <x v="22"/>
    <x v="24"/>
    <x v="29"/>
    <x v="0"/>
    <x v="3"/>
    <x v="3"/>
    <x v="3"/>
    <x v="0"/>
    <x v="0"/>
    <x v="19"/>
    <x v="3"/>
    <x v="3"/>
    <x v="3"/>
    <x v="7"/>
  </r>
  <r>
    <x v="849"/>
    <x v="1"/>
    <x v="0"/>
    <x v="10"/>
    <x v="11"/>
    <x v="22"/>
    <x v="18"/>
    <x v="0"/>
    <x v="3"/>
    <x v="0"/>
    <x v="4"/>
    <x v="0"/>
    <x v="0"/>
    <x v="0"/>
    <x v="3"/>
    <x v="0"/>
    <x v="4"/>
    <x v="5"/>
  </r>
  <r>
    <x v="850"/>
    <x v="1"/>
    <x v="0"/>
    <x v="0"/>
    <x v="18"/>
    <x v="8"/>
    <x v="9"/>
    <x v="0"/>
    <x v="4"/>
    <x v="1"/>
    <x v="4"/>
    <x v="0"/>
    <x v="0"/>
    <x v="3"/>
    <x v="4"/>
    <x v="1"/>
    <x v="4"/>
    <x v="8"/>
  </r>
  <r>
    <x v="851"/>
    <x v="2"/>
    <x v="2"/>
    <x v="9"/>
    <x v="24"/>
    <x v="11"/>
    <x v="22"/>
    <x v="0"/>
    <x v="0"/>
    <x v="5"/>
    <x v="4"/>
    <x v="0"/>
    <x v="0"/>
    <x v="20"/>
    <x v="0"/>
    <x v="5"/>
    <x v="4"/>
    <x v="3"/>
  </r>
  <r>
    <x v="852"/>
    <x v="1"/>
    <x v="1"/>
    <x v="30"/>
    <x v="2"/>
    <x v="2"/>
    <x v="2"/>
    <x v="1"/>
    <x v="2"/>
    <x v="2"/>
    <x v="2"/>
    <x v="1"/>
    <x v="5"/>
    <x v="2"/>
    <x v="2"/>
    <x v="2"/>
    <x v="2"/>
    <x v="2"/>
  </r>
  <r>
    <x v="853"/>
    <x v="3"/>
    <x v="0"/>
    <x v="27"/>
    <x v="7"/>
    <x v="6"/>
    <x v="15"/>
    <x v="0"/>
    <x v="0"/>
    <x v="3"/>
    <x v="3"/>
    <x v="1"/>
    <x v="1"/>
    <x v="2"/>
    <x v="0"/>
    <x v="3"/>
    <x v="3"/>
    <x v="2"/>
  </r>
  <r>
    <x v="854"/>
    <x v="1"/>
    <x v="0"/>
    <x v="17"/>
    <x v="19"/>
    <x v="20"/>
    <x v="19"/>
    <x v="0"/>
    <x v="0"/>
    <x v="3"/>
    <x v="3"/>
    <x v="0"/>
    <x v="0"/>
    <x v="18"/>
    <x v="0"/>
    <x v="3"/>
    <x v="3"/>
    <x v="0"/>
  </r>
  <r>
    <x v="855"/>
    <x v="1"/>
    <x v="2"/>
    <x v="28"/>
    <x v="17"/>
    <x v="20"/>
    <x v="19"/>
    <x v="0"/>
    <x v="0"/>
    <x v="1"/>
    <x v="3"/>
    <x v="0"/>
    <x v="0"/>
    <x v="14"/>
    <x v="0"/>
    <x v="1"/>
    <x v="3"/>
    <x v="11"/>
  </r>
  <r>
    <x v="856"/>
    <x v="0"/>
    <x v="2"/>
    <x v="8"/>
    <x v="34"/>
    <x v="4"/>
    <x v="23"/>
    <x v="0"/>
    <x v="4"/>
    <x v="5"/>
    <x v="0"/>
    <x v="0"/>
    <x v="0"/>
    <x v="40"/>
    <x v="4"/>
    <x v="5"/>
    <x v="0"/>
    <x v="10"/>
  </r>
  <r>
    <x v="857"/>
    <x v="0"/>
    <x v="0"/>
    <x v="7"/>
    <x v="15"/>
    <x v="30"/>
    <x v="6"/>
    <x v="0"/>
    <x v="1"/>
    <x v="0"/>
    <x v="6"/>
    <x v="0"/>
    <x v="0"/>
    <x v="29"/>
    <x v="1"/>
    <x v="0"/>
    <x v="6"/>
    <x v="9"/>
  </r>
  <r>
    <x v="858"/>
    <x v="1"/>
    <x v="0"/>
    <x v="8"/>
    <x v="32"/>
    <x v="33"/>
    <x v="20"/>
    <x v="0"/>
    <x v="5"/>
    <x v="3"/>
    <x v="1"/>
    <x v="0"/>
    <x v="0"/>
    <x v="40"/>
    <x v="5"/>
    <x v="3"/>
    <x v="1"/>
    <x v="11"/>
  </r>
  <r>
    <x v="859"/>
    <x v="2"/>
    <x v="2"/>
    <x v="3"/>
    <x v="11"/>
    <x v="12"/>
    <x v="11"/>
    <x v="0"/>
    <x v="4"/>
    <x v="5"/>
    <x v="1"/>
    <x v="0"/>
    <x v="0"/>
    <x v="31"/>
    <x v="4"/>
    <x v="5"/>
    <x v="1"/>
    <x v="8"/>
  </r>
  <r>
    <x v="860"/>
    <x v="0"/>
    <x v="0"/>
    <x v="5"/>
    <x v="11"/>
    <x v="22"/>
    <x v="8"/>
    <x v="0"/>
    <x v="1"/>
    <x v="0"/>
    <x v="1"/>
    <x v="0"/>
    <x v="0"/>
    <x v="52"/>
    <x v="1"/>
    <x v="0"/>
    <x v="1"/>
    <x v="0"/>
  </r>
  <r>
    <x v="861"/>
    <x v="2"/>
    <x v="0"/>
    <x v="11"/>
    <x v="3"/>
    <x v="3"/>
    <x v="15"/>
    <x v="0"/>
    <x v="1"/>
    <x v="3"/>
    <x v="4"/>
    <x v="0"/>
    <x v="0"/>
    <x v="31"/>
    <x v="1"/>
    <x v="3"/>
    <x v="4"/>
    <x v="7"/>
  </r>
  <r>
    <x v="862"/>
    <x v="1"/>
    <x v="2"/>
    <x v="25"/>
    <x v="13"/>
    <x v="37"/>
    <x v="6"/>
    <x v="0"/>
    <x v="1"/>
    <x v="3"/>
    <x v="5"/>
    <x v="1"/>
    <x v="4"/>
    <x v="2"/>
    <x v="1"/>
    <x v="3"/>
    <x v="5"/>
    <x v="2"/>
  </r>
  <r>
    <x v="863"/>
    <x v="1"/>
    <x v="0"/>
    <x v="26"/>
    <x v="25"/>
    <x v="15"/>
    <x v="18"/>
    <x v="0"/>
    <x v="0"/>
    <x v="0"/>
    <x v="5"/>
    <x v="0"/>
    <x v="0"/>
    <x v="10"/>
    <x v="0"/>
    <x v="0"/>
    <x v="5"/>
    <x v="3"/>
  </r>
  <r>
    <x v="864"/>
    <x v="3"/>
    <x v="2"/>
    <x v="28"/>
    <x v="27"/>
    <x v="23"/>
    <x v="27"/>
    <x v="0"/>
    <x v="4"/>
    <x v="1"/>
    <x v="6"/>
    <x v="0"/>
    <x v="0"/>
    <x v="18"/>
    <x v="4"/>
    <x v="1"/>
    <x v="6"/>
    <x v="8"/>
  </r>
  <r>
    <x v="865"/>
    <x v="0"/>
    <x v="1"/>
    <x v="0"/>
    <x v="2"/>
    <x v="2"/>
    <x v="2"/>
    <x v="1"/>
    <x v="2"/>
    <x v="2"/>
    <x v="2"/>
    <x v="1"/>
    <x v="2"/>
    <x v="2"/>
    <x v="2"/>
    <x v="2"/>
    <x v="2"/>
    <x v="2"/>
  </r>
  <r>
    <x v="866"/>
    <x v="1"/>
    <x v="0"/>
    <x v="0"/>
    <x v="9"/>
    <x v="26"/>
    <x v="5"/>
    <x v="0"/>
    <x v="1"/>
    <x v="5"/>
    <x v="4"/>
    <x v="0"/>
    <x v="0"/>
    <x v="5"/>
    <x v="1"/>
    <x v="5"/>
    <x v="4"/>
    <x v="3"/>
  </r>
  <r>
    <x v="867"/>
    <x v="3"/>
    <x v="2"/>
    <x v="18"/>
    <x v="0"/>
    <x v="8"/>
    <x v="9"/>
    <x v="0"/>
    <x v="5"/>
    <x v="3"/>
    <x v="4"/>
    <x v="0"/>
    <x v="0"/>
    <x v="3"/>
    <x v="5"/>
    <x v="3"/>
    <x v="4"/>
    <x v="3"/>
  </r>
  <r>
    <x v="868"/>
    <x v="0"/>
    <x v="0"/>
    <x v="2"/>
    <x v="13"/>
    <x v="13"/>
    <x v="28"/>
    <x v="0"/>
    <x v="5"/>
    <x v="0"/>
    <x v="4"/>
    <x v="0"/>
    <x v="0"/>
    <x v="18"/>
    <x v="5"/>
    <x v="0"/>
    <x v="4"/>
    <x v="7"/>
  </r>
  <r>
    <x v="869"/>
    <x v="1"/>
    <x v="0"/>
    <x v="30"/>
    <x v="33"/>
    <x v="29"/>
    <x v="36"/>
    <x v="0"/>
    <x v="3"/>
    <x v="3"/>
    <x v="3"/>
    <x v="0"/>
    <x v="0"/>
    <x v="36"/>
    <x v="3"/>
    <x v="3"/>
    <x v="3"/>
    <x v="10"/>
  </r>
  <r>
    <x v="870"/>
    <x v="1"/>
    <x v="0"/>
    <x v="19"/>
    <x v="23"/>
    <x v="10"/>
    <x v="23"/>
    <x v="0"/>
    <x v="1"/>
    <x v="0"/>
    <x v="1"/>
    <x v="0"/>
    <x v="0"/>
    <x v="40"/>
    <x v="1"/>
    <x v="0"/>
    <x v="1"/>
    <x v="1"/>
  </r>
  <r>
    <x v="871"/>
    <x v="0"/>
    <x v="0"/>
    <x v="1"/>
    <x v="19"/>
    <x v="20"/>
    <x v="12"/>
    <x v="0"/>
    <x v="4"/>
    <x v="3"/>
    <x v="0"/>
    <x v="0"/>
    <x v="0"/>
    <x v="18"/>
    <x v="4"/>
    <x v="3"/>
    <x v="0"/>
    <x v="11"/>
  </r>
  <r>
    <x v="872"/>
    <x v="0"/>
    <x v="0"/>
    <x v="24"/>
    <x v="20"/>
    <x v="21"/>
    <x v="14"/>
    <x v="0"/>
    <x v="0"/>
    <x v="4"/>
    <x v="3"/>
    <x v="0"/>
    <x v="0"/>
    <x v="39"/>
    <x v="0"/>
    <x v="4"/>
    <x v="3"/>
    <x v="7"/>
  </r>
  <r>
    <x v="873"/>
    <x v="0"/>
    <x v="2"/>
    <x v="13"/>
    <x v="13"/>
    <x v="30"/>
    <x v="39"/>
    <x v="0"/>
    <x v="3"/>
    <x v="1"/>
    <x v="4"/>
    <x v="0"/>
    <x v="0"/>
    <x v="32"/>
    <x v="3"/>
    <x v="1"/>
    <x v="4"/>
    <x v="8"/>
  </r>
  <r>
    <x v="874"/>
    <x v="1"/>
    <x v="2"/>
    <x v="19"/>
    <x v="23"/>
    <x v="31"/>
    <x v="35"/>
    <x v="0"/>
    <x v="1"/>
    <x v="5"/>
    <x v="6"/>
    <x v="0"/>
    <x v="0"/>
    <x v="24"/>
    <x v="1"/>
    <x v="5"/>
    <x v="6"/>
    <x v="9"/>
  </r>
  <r>
    <x v="875"/>
    <x v="1"/>
    <x v="2"/>
    <x v="23"/>
    <x v="18"/>
    <x v="8"/>
    <x v="9"/>
    <x v="0"/>
    <x v="0"/>
    <x v="1"/>
    <x v="4"/>
    <x v="0"/>
    <x v="0"/>
    <x v="24"/>
    <x v="0"/>
    <x v="1"/>
    <x v="4"/>
    <x v="5"/>
  </r>
  <r>
    <x v="876"/>
    <x v="3"/>
    <x v="0"/>
    <x v="28"/>
    <x v="27"/>
    <x v="23"/>
    <x v="14"/>
    <x v="0"/>
    <x v="4"/>
    <x v="1"/>
    <x v="4"/>
    <x v="0"/>
    <x v="0"/>
    <x v="32"/>
    <x v="4"/>
    <x v="1"/>
    <x v="4"/>
    <x v="0"/>
  </r>
  <r>
    <x v="877"/>
    <x v="2"/>
    <x v="1"/>
    <x v="25"/>
    <x v="2"/>
    <x v="2"/>
    <x v="2"/>
    <x v="1"/>
    <x v="2"/>
    <x v="2"/>
    <x v="2"/>
    <x v="1"/>
    <x v="4"/>
    <x v="2"/>
    <x v="2"/>
    <x v="2"/>
    <x v="2"/>
    <x v="2"/>
  </r>
  <r>
    <x v="878"/>
    <x v="0"/>
    <x v="0"/>
    <x v="5"/>
    <x v="23"/>
    <x v="31"/>
    <x v="18"/>
    <x v="0"/>
    <x v="4"/>
    <x v="5"/>
    <x v="0"/>
    <x v="0"/>
    <x v="0"/>
    <x v="30"/>
    <x v="4"/>
    <x v="5"/>
    <x v="0"/>
    <x v="8"/>
  </r>
  <r>
    <x v="879"/>
    <x v="1"/>
    <x v="2"/>
    <x v="22"/>
    <x v="25"/>
    <x v="31"/>
    <x v="26"/>
    <x v="0"/>
    <x v="3"/>
    <x v="1"/>
    <x v="4"/>
    <x v="0"/>
    <x v="0"/>
    <x v="14"/>
    <x v="3"/>
    <x v="1"/>
    <x v="4"/>
    <x v="8"/>
  </r>
  <r>
    <x v="880"/>
    <x v="1"/>
    <x v="0"/>
    <x v="21"/>
    <x v="22"/>
    <x v="6"/>
    <x v="15"/>
    <x v="0"/>
    <x v="3"/>
    <x v="4"/>
    <x v="3"/>
    <x v="0"/>
    <x v="0"/>
    <x v="39"/>
    <x v="3"/>
    <x v="4"/>
    <x v="3"/>
    <x v="0"/>
  </r>
  <r>
    <x v="881"/>
    <x v="0"/>
    <x v="1"/>
    <x v="28"/>
    <x v="2"/>
    <x v="2"/>
    <x v="2"/>
    <x v="1"/>
    <x v="2"/>
    <x v="2"/>
    <x v="2"/>
    <x v="1"/>
    <x v="4"/>
    <x v="2"/>
    <x v="2"/>
    <x v="2"/>
    <x v="2"/>
    <x v="2"/>
  </r>
  <r>
    <x v="882"/>
    <x v="2"/>
    <x v="0"/>
    <x v="23"/>
    <x v="31"/>
    <x v="26"/>
    <x v="17"/>
    <x v="0"/>
    <x v="1"/>
    <x v="0"/>
    <x v="5"/>
    <x v="0"/>
    <x v="0"/>
    <x v="0"/>
    <x v="1"/>
    <x v="0"/>
    <x v="5"/>
    <x v="8"/>
  </r>
  <r>
    <x v="883"/>
    <x v="0"/>
    <x v="1"/>
    <x v="28"/>
    <x v="2"/>
    <x v="2"/>
    <x v="2"/>
    <x v="1"/>
    <x v="2"/>
    <x v="2"/>
    <x v="2"/>
    <x v="1"/>
    <x v="2"/>
    <x v="2"/>
    <x v="2"/>
    <x v="2"/>
    <x v="2"/>
    <x v="2"/>
  </r>
  <r>
    <x v="884"/>
    <x v="2"/>
    <x v="2"/>
    <x v="5"/>
    <x v="4"/>
    <x v="10"/>
    <x v="4"/>
    <x v="0"/>
    <x v="0"/>
    <x v="5"/>
    <x v="0"/>
    <x v="0"/>
    <x v="0"/>
    <x v="44"/>
    <x v="0"/>
    <x v="5"/>
    <x v="0"/>
    <x v="11"/>
  </r>
  <r>
    <x v="885"/>
    <x v="1"/>
    <x v="2"/>
    <x v="3"/>
    <x v="34"/>
    <x v="9"/>
    <x v="10"/>
    <x v="0"/>
    <x v="5"/>
    <x v="0"/>
    <x v="1"/>
    <x v="0"/>
    <x v="0"/>
    <x v="21"/>
    <x v="5"/>
    <x v="0"/>
    <x v="1"/>
    <x v="9"/>
  </r>
  <r>
    <x v="886"/>
    <x v="2"/>
    <x v="1"/>
    <x v="24"/>
    <x v="2"/>
    <x v="2"/>
    <x v="2"/>
    <x v="1"/>
    <x v="2"/>
    <x v="2"/>
    <x v="2"/>
    <x v="1"/>
    <x v="3"/>
    <x v="2"/>
    <x v="2"/>
    <x v="2"/>
    <x v="2"/>
    <x v="2"/>
  </r>
  <r>
    <x v="887"/>
    <x v="3"/>
    <x v="0"/>
    <x v="1"/>
    <x v="14"/>
    <x v="11"/>
    <x v="15"/>
    <x v="0"/>
    <x v="0"/>
    <x v="3"/>
    <x v="0"/>
    <x v="0"/>
    <x v="0"/>
    <x v="14"/>
    <x v="0"/>
    <x v="3"/>
    <x v="0"/>
    <x v="11"/>
  </r>
  <r>
    <x v="888"/>
    <x v="1"/>
    <x v="0"/>
    <x v="22"/>
    <x v="12"/>
    <x v="8"/>
    <x v="26"/>
    <x v="0"/>
    <x v="4"/>
    <x v="4"/>
    <x v="0"/>
    <x v="0"/>
    <x v="0"/>
    <x v="1"/>
    <x v="4"/>
    <x v="4"/>
    <x v="0"/>
    <x v="3"/>
  </r>
  <r>
    <x v="889"/>
    <x v="3"/>
    <x v="0"/>
    <x v="13"/>
    <x v="15"/>
    <x v="30"/>
    <x v="39"/>
    <x v="0"/>
    <x v="4"/>
    <x v="0"/>
    <x v="4"/>
    <x v="0"/>
    <x v="0"/>
    <x v="34"/>
    <x v="4"/>
    <x v="0"/>
    <x v="4"/>
    <x v="8"/>
  </r>
  <r>
    <x v="890"/>
    <x v="0"/>
    <x v="1"/>
    <x v="19"/>
    <x v="2"/>
    <x v="2"/>
    <x v="2"/>
    <x v="1"/>
    <x v="2"/>
    <x v="2"/>
    <x v="2"/>
    <x v="1"/>
    <x v="3"/>
    <x v="2"/>
    <x v="2"/>
    <x v="2"/>
    <x v="2"/>
    <x v="2"/>
  </r>
  <r>
    <x v="891"/>
    <x v="0"/>
    <x v="0"/>
    <x v="10"/>
    <x v="10"/>
    <x v="7"/>
    <x v="8"/>
    <x v="0"/>
    <x v="1"/>
    <x v="0"/>
    <x v="0"/>
    <x v="0"/>
    <x v="0"/>
    <x v="24"/>
    <x v="1"/>
    <x v="0"/>
    <x v="0"/>
    <x v="11"/>
  </r>
  <r>
    <x v="892"/>
    <x v="0"/>
    <x v="0"/>
    <x v="18"/>
    <x v="0"/>
    <x v="18"/>
    <x v="0"/>
    <x v="0"/>
    <x v="5"/>
    <x v="5"/>
    <x v="1"/>
    <x v="0"/>
    <x v="0"/>
    <x v="19"/>
    <x v="5"/>
    <x v="5"/>
    <x v="1"/>
    <x v="11"/>
  </r>
  <r>
    <x v="893"/>
    <x v="2"/>
    <x v="0"/>
    <x v="2"/>
    <x v="26"/>
    <x v="36"/>
    <x v="28"/>
    <x v="0"/>
    <x v="1"/>
    <x v="3"/>
    <x v="0"/>
    <x v="0"/>
    <x v="0"/>
    <x v="41"/>
    <x v="1"/>
    <x v="3"/>
    <x v="0"/>
    <x v="11"/>
  </r>
  <r>
    <x v="894"/>
    <x v="1"/>
    <x v="0"/>
    <x v="17"/>
    <x v="17"/>
    <x v="21"/>
    <x v="14"/>
    <x v="0"/>
    <x v="4"/>
    <x v="5"/>
    <x v="3"/>
    <x v="0"/>
    <x v="0"/>
    <x v="29"/>
    <x v="4"/>
    <x v="5"/>
    <x v="3"/>
    <x v="10"/>
  </r>
  <r>
    <x v="895"/>
    <x v="0"/>
    <x v="0"/>
    <x v="3"/>
    <x v="11"/>
    <x v="10"/>
    <x v="13"/>
    <x v="0"/>
    <x v="4"/>
    <x v="3"/>
    <x v="6"/>
    <x v="1"/>
    <x v="5"/>
    <x v="2"/>
    <x v="4"/>
    <x v="3"/>
    <x v="6"/>
    <x v="2"/>
  </r>
  <r>
    <x v="896"/>
    <x v="0"/>
    <x v="1"/>
    <x v="13"/>
    <x v="2"/>
    <x v="2"/>
    <x v="2"/>
    <x v="1"/>
    <x v="2"/>
    <x v="2"/>
    <x v="2"/>
    <x v="1"/>
    <x v="5"/>
    <x v="2"/>
    <x v="2"/>
    <x v="2"/>
    <x v="2"/>
    <x v="2"/>
  </r>
  <r>
    <x v="897"/>
    <x v="1"/>
    <x v="1"/>
    <x v="13"/>
    <x v="2"/>
    <x v="2"/>
    <x v="2"/>
    <x v="1"/>
    <x v="2"/>
    <x v="2"/>
    <x v="2"/>
    <x v="1"/>
    <x v="3"/>
    <x v="2"/>
    <x v="2"/>
    <x v="2"/>
    <x v="2"/>
    <x v="2"/>
  </r>
  <r>
    <x v="898"/>
    <x v="0"/>
    <x v="1"/>
    <x v="21"/>
    <x v="2"/>
    <x v="2"/>
    <x v="2"/>
    <x v="1"/>
    <x v="2"/>
    <x v="2"/>
    <x v="2"/>
    <x v="1"/>
    <x v="1"/>
    <x v="2"/>
    <x v="2"/>
    <x v="2"/>
    <x v="2"/>
    <x v="2"/>
  </r>
  <r>
    <x v="899"/>
    <x v="3"/>
    <x v="2"/>
    <x v="17"/>
    <x v="19"/>
    <x v="17"/>
    <x v="27"/>
    <x v="0"/>
    <x v="0"/>
    <x v="5"/>
    <x v="3"/>
    <x v="0"/>
    <x v="0"/>
    <x v="20"/>
    <x v="0"/>
    <x v="5"/>
    <x v="3"/>
    <x v="3"/>
  </r>
  <r>
    <x v="900"/>
    <x v="1"/>
    <x v="0"/>
    <x v="19"/>
    <x v="4"/>
    <x v="4"/>
    <x v="4"/>
    <x v="0"/>
    <x v="5"/>
    <x v="0"/>
    <x v="3"/>
    <x v="0"/>
    <x v="0"/>
    <x v="44"/>
    <x v="5"/>
    <x v="0"/>
    <x v="3"/>
    <x v="4"/>
  </r>
  <r>
    <x v="901"/>
    <x v="1"/>
    <x v="0"/>
    <x v="14"/>
    <x v="21"/>
    <x v="23"/>
    <x v="27"/>
    <x v="0"/>
    <x v="0"/>
    <x v="0"/>
    <x v="6"/>
    <x v="0"/>
    <x v="0"/>
    <x v="33"/>
    <x v="0"/>
    <x v="0"/>
    <x v="6"/>
    <x v="6"/>
  </r>
  <r>
    <x v="902"/>
    <x v="1"/>
    <x v="0"/>
    <x v="7"/>
    <x v="30"/>
    <x v="37"/>
    <x v="39"/>
    <x v="0"/>
    <x v="0"/>
    <x v="4"/>
    <x v="6"/>
    <x v="0"/>
    <x v="0"/>
    <x v="36"/>
    <x v="0"/>
    <x v="4"/>
    <x v="6"/>
    <x v="7"/>
  </r>
  <r>
    <x v="903"/>
    <x v="3"/>
    <x v="0"/>
    <x v="26"/>
    <x v="0"/>
    <x v="0"/>
    <x v="0"/>
    <x v="0"/>
    <x v="1"/>
    <x v="0"/>
    <x v="0"/>
    <x v="0"/>
    <x v="0"/>
    <x v="21"/>
    <x v="1"/>
    <x v="0"/>
    <x v="0"/>
    <x v="3"/>
  </r>
  <r>
    <x v="904"/>
    <x v="1"/>
    <x v="1"/>
    <x v="3"/>
    <x v="2"/>
    <x v="2"/>
    <x v="2"/>
    <x v="1"/>
    <x v="2"/>
    <x v="2"/>
    <x v="2"/>
    <x v="1"/>
    <x v="4"/>
    <x v="2"/>
    <x v="2"/>
    <x v="2"/>
    <x v="2"/>
    <x v="2"/>
  </r>
  <r>
    <x v="905"/>
    <x v="3"/>
    <x v="0"/>
    <x v="2"/>
    <x v="6"/>
    <x v="13"/>
    <x v="39"/>
    <x v="0"/>
    <x v="0"/>
    <x v="1"/>
    <x v="3"/>
    <x v="0"/>
    <x v="0"/>
    <x v="36"/>
    <x v="0"/>
    <x v="1"/>
    <x v="3"/>
    <x v="11"/>
  </r>
  <r>
    <x v="906"/>
    <x v="1"/>
    <x v="0"/>
    <x v="13"/>
    <x v="13"/>
    <x v="13"/>
    <x v="28"/>
    <x v="0"/>
    <x v="3"/>
    <x v="0"/>
    <x v="4"/>
    <x v="0"/>
    <x v="0"/>
    <x v="36"/>
    <x v="3"/>
    <x v="0"/>
    <x v="4"/>
    <x v="8"/>
  </r>
  <r>
    <x v="907"/>
    <x v="2"/>
    <x v="2"/>
    <x v="2"/>
    <x v="29"/>
    <x v="36"/>
    <x v="39"/>
    <x v="0"/>
    <x v="3"/>
    <x v="1"/>
    <x v="5"/>
    <x v="0"/>
    <x v="0"/>
    <x v="38"/>
    <x v="3"/>
    <x v="1"/>
    <x v="5"/>
    <x v="0"/>
  </r>
  <r>
    <x v="908"/>
    <x v="0"/>
    <x v="0"/>
    <x v="9"/>
    <x v="24"/>
    <x v="6"/>
    <x v="1"/>
    <x v="0"/>
    <x v="0"/>
    <x v="0"/>
    <x v="5"/>
    <x v="0"/>
    <x v="0"/>
    <x v="49"/>
    <x v="0"/>
    <x v="0"/>
    <x v="5"/>
    <x v="1"/>
  </r>
  <r>
    <x v="909"/>
    <x v="2"/>
    <x v="0"/>
    <x v="19"/>
    <x v="4"/>
    <x v="7"/>
    <x v="37"/>
    <x v="0"/>
    <x v="5"/>
    <x v="1"/>
    <x v="5"/>
    <x v="0"/>
    <x v="0"/>
    <x v="0"/>
    <x v="5"/>
    <x v="1"/>
    <x v="5"/>
    <x v="0"/>
  </r>
  <r>
    <x v="910"/>
    <x v="0"/>
    <x v="0"/>
    <x v="19"/>
    <x v="11"/>
    <x v="4"/>
    <x v="4"/>
    <x v="0"/>
    <x v="0"/>
    <x v="1"/>
    <x v="3"/>
    <x v="0"/>
    <x v="0"/>
    <x v="27"/>
    <x v="0"/>
    <x v="1"/>
    <x v="3"/>
    <x v="8"/>
  </r>
  <r>
    <x v="911"/>
    <x v="3"/>
    <x v="2"/>
    <x v="24"/>
    <x v="21"/>
    <x v="23"/>
    <x v="12"/>
    <x v="0"/>
    <x v="4"/>
    <x v="0"/>
    <x v="1"/>
    <x v="0"/>
    <x v="0"/>
    <x v="17"/>
    <x v="4"/>
    <x v="0"/>
    <x v="1"/>
    <x v="10"/>
  </r>
  <r>
    <x v="912"/>
    <x v="2"/>
    <x v="2"/>
    <x v="23"/>
    <x v="16"/>
    <x v="26"/>
    <x v="9"/>
    <x v="0"/>
    <x v="4"/>
    <x v="1"/>
    <x v="6"/>
    <x v="0"/>
    <x v="0"/>
    <x v="14"/>
    <x v="4"/>
    <x v="1"/>
    <x v="6"/>
    <x v="1"/>
  </r>
  <r>
    <x v="913"/>
    <x v="1"/>
    <x v="0"/>
    <x v="1"/>
    <x v="24"/>
    <x v="25"/>
    <x v="32"/>
    <x v="0"/>
    <x v="5"/>
    <x v="4"/>
    <x v="0"/>
    <x v="0"/>
    <x v="0"/>
    <x v="20"/>
    <x v="5"/>
    <x v="4"/>
    <x v="0"/>
    <x v="3"/>
  </r>
  <r>
    <x v="914"/>
    <x v="0"/>
    <x v="2"/>
    <x v="2"/>
    <x v="26"/>
    <x v="36"/>
    <x v="28"/>
    <x v="0"/>
    <x v="1"/>
    <x v="3"/>
    <x v="0"/>
    <x v="0"/>
    <x v="0"/>
    <x v="28"/>
    <x v="1"/>
    <x v="3"/>
    <x v="0"/>
    <x v="8"/>
  </r>
  <r>
    <x v="915"/>
    <x v="0"/>
    <x v="2"/>
    <x v="14"/>
    <x v="15"/>
    <x v="14"/>
    <x v="27"/>
    <x v="0"/>
    <x v="3"/>
    <x v="1"/>
    <x v="5"/>
    <x v="0"/>
    <x v="0"/>
    <x v="38"/>
    <x v="3"/>
    <x v="1"/>
    <x v="5"/>
    <x v="10"/>
  </r>
  <r>
    <x v="916"/>
    <x v="2"/>
    <x v="2"/>
    <x v="17"/>
    <x v="21"/>
    <x v="17"/>
    <x v="22"/>
    <x v="0"/>
    <x v="3"/>
    <x v="1"/>
    <x v="0"/>
    <x v="0"/>
    <x v="0"/>
    <x v="22"/>
    <x v="3"/>
    <x v="1"/>
    <x v="0"/>
    <x v="5"/>
  </r>
  <r>
    <x v="917"/>
    <x v="3"/>
    <x v="2"/>
    <x v="30"/>
    <x v="6"/>
    <x v="29"/>
    <x v="30"/>
    <x v="0"/>
    <x v="1"/>
    <x v="4"/>
    <x v="4"/>
    <x v="0"/>
    <x v="0"/>
    <x v="55"/>
    <x v="1"/>
    <x v="4"/>
    <x v="4"/>
    <x v="1"/>
  </r>
  <r>
    <x v="918"/>
    <x v="2"/>
    <x v="2"/>
    <x v="13"/>
    <x v="27"/>
    <x v="13"/>
    <x v="28"/>
    <x v="0"/>
    <x v="0"/>
    <x v="4"/>
    <x v="4"/>
    <x v="0"/>
    <x v="0"/>
    <x v="38"/>
    <x v="0"/>
    <x v="4"/>
    <x v="4"/>
    <x v="10"/>
  </r>
  <r>
    <x v="919"/>
    <x v="3"/>
    <x v="0"/>
    <x v="15"/>
    <x v="23"/>
    <x v="31"/>
    <x v="35"/>
    <x v="0"/>
    <x v="5"/>
    <x v="5"/>
    <x v="6"/>
    <x v="0"/>
    <x v="0"/>
    <x v="49"/>
    <x v="5"/>
    <x v="5"/>
    <x v="6"/>
    <x v="5"/>
  </r>
  <r>
    <x v="920"/>
    <x v="3"/>
    <x v="0"/>
    <x v="4"/>
    <x v="3"/>
    <x v="3"/>
    <x v="1"/>
    <x v="0"/>
    <x v="0"/>
    <x v="3"/>
    <x v="0"/>
    <x v="0"/>
    <x v="0"/>
    <x v="20"/>
    <x v="0"/>
    <x v="3"/>
    <x v="0"/>
    <x v="6"/>
  </r>
  <r>
    <x v="921"/>
    <x v="0"/>
    <x v="1"/>
    <x v="16"/>
    <x v="2"/>
    <x v="2"/>
    <x v="2"/>
    <x v="1"/>
    <x v="2"/>
    <x v="2"/>
    <x v="2"/>
    <x v="1"/>
    <x v="1"/>
    <x v="2"/>
    <x v="2"/>
    <x v="2"/>
    <x v="2"/>
    <x v="2"/>
  </r>
  <r>
    <x v="922"/>
    <x v="2"/>
    <x v="0"/>
    <x v="7"/>
    <x v="15"/>
    <x v="37"/>
    <x v="28"/>
    <x v="0"/>
    <x v="1"/>
    <x v="5"/>
    <x v="3"/>
    <x v="0"/>
    <x v="0"/>
    <x v="22"/>
    <x v="1"/>
    <x v="5"/>
    <x v="3"/>
    <x v="5"/>
  </r>
  <r>
    <x v="923"/>
    <x v="2"/>
    <x v="0"/>
    <x v="15"/>
    <x v="23"/>
    <x v="22"/>
    <x v="11"/>
    <x v="0"/>
    <x v="5"/>
    <x v="1"/>
    <x v="0"/>
    <x v="0"/>
    <x v="0"/>
    <x v="31"/>
    <x v="5"/>
    <x v="1"/>
    <x v="0"/>
    <x v="5"/>
  </r>
  <r>
    <x v="924"/>
    <x v="3"/>
    <x v="2"/>
    <x v="25"/>
    <x v="26"/>
    <x v="32"/>
    <x v="30"/>
    <x v="0"/>
    <x v="3"/>
    <x v="4"/>
    <x v="3"/>
    <x v="0"/>
    <x v="0"/>
    <x v="35"/>
    <x v="3"/>
    <x v="4"/>
    <x v="3"/>
    <x v="5"/>
  </r>
  <r>
    <x v="925"/>
    <x v="2"/>
    <x v="2"/>
    <x v="6"/>
    <x v="7"/>
    <x v="24"/>
    <x v="21"/>
    <x v="0"/>
    <x v="3"/>
    <x v="1"/>
    <x v="1"/>
    <x v="0"/>
    <x v="0"/>
    <x v="17"/>
    <x v="3"/>
    <x v="1"/>
    <x v="1"/>
    <x v="0"/>
  </r>
  <r>
    <x v="926"/>
    <x v="1"/>
    <x v="0"/>
    <x v="11"/>
    <x v="22"/>
    <x v="16"/>
    <x v="21"/>
    <x v="0"/>
    <x v="0"/>
    <x v="0"/>
    <x v="5"/>
    <x v="0"/>
    <x v="0"/>
    <x v="32"/>
    <x v="0"/>
    <x v="0"/>
    <x v="5"/>
    <x v="11"/>
  </r>
  <r>
    <x v="927"/>
    <x v="1"/>
    <x v="2"/>
    <x v="22"/>
    <x v="12"/>
    <x v="15"/>
    <x v="26"/>
    <x v="0"/>
    <x v="4"/>
    <x v="3"/>
    <x v="3"/>
    <x v="1"/>
    <x v="4"/>
    <x v="2"/>
    <x v="4"/>
    <x v="3"/>
    <x v="3"/>
    <x v="2"/>
  </r>
  <r>
    <x v="928"/>
    <x v="2"/>
    <x v="0"/>
    <x v="9"/>
    <x v="14"/>
    <x v="1"/>
    <x v="1"/>
    <x v="0"/>
    <x v="1"/>
    <x v="0"/>
    <x v="1"/>
    <x v="0"/>
    <x v="0"/>
    <x v="17"/>
    <x v="1"/>
    <x v="0"/>
    <x v="1"/>
    <x v="1"/>
  </r>
  <r>
    <x v="929"/>
    <x v="2"/>
    <x v="0"/>
    <x v="16"/>
    <x v="5"/>
    <x v="3"/>
    <x v="33"/>
    <x v="0"/>
    <x v="1"/>
    <x v="4"/>
    <x v="5"/>
    <x v="0"/>
    <x v="0"/>
    <x v="23"/>
    <x v="1"/>
    <x v="4"/>
    <x v="5"/>
    <x v="10"/>
  </r>
  <r>
    <x v="930"/>
    <x v="3"/>
    <x v="0"/>
    <x v="23"/>
    <x v="18"/>
    <x v="28"/>
    <x v="1"/>
    <x v="0"/>
    <x v="0"/>
    <x v="4"/>
    <x v="4"/>
    <x v="0"/>
    <x v="0"/>
    <x v="5"/>
    <x v="0"/>
    <x v="4"/>
    <x v="4"/>
    <x v="11"/>
  </r>
  <r>
    <x v="931"/>
    <x v="1"/>
    <x v="2"/>
    <x v="7"/>
    <x v="15"/>
    <x v="5"/>
    <x v="39"/>
    <x v="0"/>
    <x v="1"/>
    <x v="4"/>
    <x v="0"/>
    <x v="0"/>
    <x v="0"/>
    <x v="15"/>
    <x v="1"/>
    <x v="4"/>
    <x v="0"/>
    <x v="3"/>
  </r>
  <r>
    <x v="932"/>
    <x v="1"/>
    <x v="0"/>
    <x v="11"/>
    <x v="24"/>
    <x v="1"/>
    <x v="1"/>
    <x v="0"/>
    <x v="3"/>
    <x v="3"/>
    <x v="1"/>
    <x v="0"/>
    <x v="0"/>
    <x v="42"/>
    <x v="3"/>
    <x v="3"/>
    <x v="1"/>
    <x v="0"/>
  </r>
  <r>
    <x v="933"/>
    <x v="0"/>
    <x v="0"/>
    <x v="16"/>
    <x v="16"/>
    <x v="16"/>
    <x v="33"/>
    <x v="0"/>
    <x v="0"/>
    <x v="5"/>
    <x v="6"/>
    <x v="1"/>
    <x v="3"/>
    <x v="2"/>
    <x v="0"/>
    <x v="5"/>
    <x v="6"/>
    <x v="2"/>
  </r>
  <r>
    <x v="934"/>
    <x v="3"/>
    <x v="2"/>
    <x v="24"/>
    <x v="27"/>
    <x v="23"/>
    <x v="19"/>
    <x v="0"/>
    <x v="3"/>
    <x v="1"/>
    <x v="0"/>
    <x v="0"/>
    <x v="0"/>
    <x v="3"/>
    <x v="3"/>
    <x v="1"/>
    <x v="0"/>
    <x v="3"/>
  </r>
  <r>
    <x v="935"/>
    <x v="0"/>
    <x v="0"/>
    <x v="8"/>
    <x v="32"/>
    <x v="39"/>
    <x v="44"/>
    <x v="0"/>
    <x v="5"/>
    <x v="1"/>
    <x v="5"/>
    <x v="0"/>
    <x v="0"/>
    <x v="56"/>
    <x v="5"/>
    <x v="1"/>
    <x v="5"/>
    <x v="0"/>
  </r>
  <r>
    <x v="936"/>
    <x v="1"/>
    <x v="0"/>
    <x v="18"/>
    <x v="0"/>
    <x v="15"/>
    <x v="35"/>
    <x v="0"/>
    <x v="5"/>
    <x v="1"/>
    <x v="0"/>
    <x v="0"/>
    <x v="0"/>
    <x v="1"/>
    <x v="5"/>
    <x v="1"/>
    <x v="0"/>
    <x v="8"/>
  </r>
  <r>
    <x v="937"/>
    <x v="3"/>
    <x v="1"/>
    <x v="30"/>
    <x v="2"/>
    <x v="2"/>
    <x v="2"/>
    <x v="1"/>
    <x v="2"/>
    <x v="2"/>
    <x v="2"/>
    <x v="1"/>
    <x v="5"/>
    <x v="2"/>
    <x v="2"/>
    <x v="2"/>
    <x v="2"/>
    <x v="2"/>
  </r>
  <r>
    <x v="938"/>
    <x v="2"/>
    <x v="2"/>
    <x v="15"/>
    <x v="25"/>
    <x v="31"/>
    <x v="35"/>
    <x v="0"/>
    <x v="4"/>
    <x v="1"/>
    <x v="6"/>
    <x v="0"/>
    <x v="0"/>
    <x v="42"/>
    <x v="4"/>
    <x v="1"/>
    <x v="6"/>
    <x v="11"/>
  </r>
  <r>
    <x v="939"/>
    <x v="3"/>
    <x v="1"/>
    <x v="19"/>
    <x v="2"/>
    <x v="2"/>
    <x v="2"/>
    <x v="1"/>
    <x v="2"/>
    <x v="2"/>
    <x v="2"/>
    <x v="1"/>
    <x v="5"/>
    <x v="2"/>
    <x v="2"/>
    <x v="2"/>
    <x v="2"/>
    <x v="2"/>
  </r>
  <r>
    <x v="940"/>
    <x v="2"/>
    <x v="0"/>
    <x v="20"/>
    <x v="34"/>
    <x v="38"/>
    <x v="10"/>
    <x v="0"/>
    <x v="1"/>
    <x v="1"/>
    <x v="5"/>
    <x v="0"/>
    <x v="0"/>
    <x v="13"/>
    <x v="1"/>
    <x v="1"/>
    <x v="5"/>
    <x v="1"/>
  </r>
  <r>
    <x v="941"/>
    <x v="2"/>
    <x v="0"/>
    <x v="3"/>
    <x v="34"/>
    <x v="4"/>
    <x v="8"/>
    <x v="0"/>
    <x v="5"/>
    <x v="5"/>
    <x v="5"/>
    <x v="0"/>
    <x v="0"/>
    <x v="6"/>
    <x v="5"/>
    <x v="5"/>
    <x v="5"/>
    <x v="7"/>
  </r>
  <r>
    <x v="942"/>
    <x v="3"/>
    <x v="2"/>
    <x v="26"/>
    <x v="0"/>
    <x v="0"/>
    <x v="26"/>
    <x v="0"/>
    <x v="1"/>
    <x v="0"/>
    <x v="6"/>
    <x v="0"/>
    <x v="0"/>
    <x v="14"/>
    <x v="1"/>
    <x v="0"/>
    <x v="6"/>
    <x v="8"/>
  </r>
  <r>
    <x v="943"/>
    <x v="2"/>
    <x v="0"/>
    <x v="16"/>
    <x v="3"/>
    <x v="3"/>
    <x v="1"/>
    <x v="0"/>
    <x v="3"/>
    <x v="3"/>
    <x v="0"/>
    <x v="0"/>
    <x v="0"/>
    <x v="32"/>
    <x v="3"/>
    <x v="3"/>
    <x v="0"/>
    <x v="0"/>
  </r>
  <r>
    <x v="944"/>
    <x v="0"/>
    <x v="2"/>
    <x v="29"/>
    <x v="1"/>
    <x v="11"/>
    <x v="32"/>
    <x v="0"/>
    <x v="0"/>
    <x v="0"/>
    <x v="6"/>
    <x v="0"/>
    <x v="0"/>
    <x v="19"/>
    <x v="0"/>
    <x v="0"/>
    <x v="6"/>
    <x v="9"/>
  </r>
  <r>
    <x v="945"/>
    <x v="1"/>
    <x v="0"/>
    <x v="11"/>
    <x v="5"/>
    <x v="28"/>
    <x v="33"/>
    <x v="0"/>
    <x v="5"/>
    <x v="0"/>
    <x v="3"/>
    <x v="0"/>
    <x v="0"/>
    <x v="10"/>
    <x v="5"/>
    <x v="0"/>
    <x v="3"/>
    <x v="5"/>
  </r>
  <r>
    <x v="946"/>
    <x v="2"/>
    <x v="2"/>
    <x v="0"/>
    <x v="0"/>
    <x v="15"/>
    <x v="17"/>
    <x v="0"/>
    <x v="0"/>
    <x v="1"/>
    <x v="4"/>
    <x v="0"/>
    <x v="0"/>
    <x v="49"/>
    <x v="0"/>
    <x v="1"/>
    <x v="4"/>
    <x v="5"/>
  </r>
  <r>
    <x v="947"/>
    <x v="0"/>
    <x v="1"/>
    <x v="8"/>
    <x v="2"/>
    <x v="2"/>
    <x v="2"/>
    <x v="1"/>
    <x v="2"/>
    <x v="2"/>
    <x v="2"/>
    <x v="1"/>
    <x v="1"/>
    <x v="2"/>
    <x v="2"/>
    <x v="2"/>
    <x v="2"/>
    <x v="2"/>
  </r>
  <r>
    <x v="948"/>
    <x v="2"/>
    <x v="0"/>
    <x v="2"/>
    <x v="13"/>
    <x v="30"/>
    <x v="6"/>
    <x v="0"/>
    <x v="5"/>
    <x v="1"/>
    <x v="6"/>
    <x v="0"/>
    <x v="0"/>
    <x v="15"/>
    <x v="5"/>
    <x v="1"/>
    <x v="6"/>
    <x v="1"/>
  </r>
  <r>
    <x v="949"/>
    <x v="1"/>
    <x v="0"/>
    <x v="30"/>
    <x v="6"/>
    <x v="36"/>
    <x v="39"/>
    <x v="0"/>
    <x v="1"/>
    <x v="5"/>
    <x v="5"/>
    <x v="0"/>
    <x v="0"/>
    <x v="22"/>
    <x v="1"/>
    <x v="5"/>
    <x v="5"/>
    <x v="0"/>
  </r>
  <r>
    <x v="950"/>
    <x v="0"/>
    <x v="2"/>
    <x v="6"/>
    <x v="16"/>
    <x v="28"/>
    <x v="33"/>
    <x v="0"/>
    <x v="5"/>
    <x v="3"/>
    <x v="3"/>
    <x v="0"/>
    <x v="0"/>
    <x v="31"/>
    <x v="5"/>
    <x v="3"/>
    <x v="3"/>
    <x v="9"/>
  </r>
  <r>
    <x v="951"/>
    <x v="1"/>
    <x v="2"/>
    <x v="3"/>
    <x v="34"/>
    <x v="22"/>
    <x v="18"/>
    <x v="0"/>
    <x v="5"/>
    <x v="4"/>
    <x v="4"/>
    <x v="0"/>
    <x v="0"/>
    <x v="0"/>
    <x v="5"/>
    <x v="4"/>
    <x v="4"/>
    <x v="10"/>
  </r>
  <r>
    <x v="952"/>
    <x v="1"/>
    <x v="0"/>
    <x v="27"/>
    <x v="1"/>
    <x v="11"/>
    <x v="32"/>
    <x v="0"/>
    <x v="3"/>
    <x v="0"/>
    <x v="6"/>
    <x v="0"/>
    <x v="0"/>
    <x v="31"/>
    <x v="3"/>
    <x v="0"/>
    <x v="6"/>
    <x v="10"/>
  </r>
  <r>
    <x v="953"/>
    <x v="0"/>
    <x v="0"/>
    <x v="4"/>
    <x v="24"/>
    <x v="25"/>
    <x v="19"/>
    <x v="0"/>
    <x v="4"/>
    <x v="4"/>
    <x v="4"/>
    <x v="0"/>
    <x v="0"/>
    <x v="39"/>
    <x v="4"/>
    <x v="4"/>
    <x v="4"/>
    <x v="5"/>
  </r>
  <r>
    <x v="954"/>
    <x v="0"/>
    <x v="2"/>
    <x v="26"/>
    <x v="18"/>
    <x v="26"/>
    <x v="24"/>
    <x v="0"/>
    <x v="3"/>
    <x v="3"/>
    <x v="0"/>
    <x v="0"/>
    <x v="0"/>
    <x v="19"/>
    <x v="3"/>
    <x v="3"/>
    <x v="0"/>
    <x v="10"/>
  </r>
  <r>
    <x v="955"/>
    <x v="0"/>
    <x v="0"/>
    <x v="7"/>
    <x v="30"/>
    <x v="14"/>
    <x v="27"/>
    <x v="0"/>
    <x v="0"/>
    <x v="0"/>
    <x v="5"/>
    <x v="0"/>
    <x v="0"/>
    <x v="33"/>
    <x v="0"/>
    <x v="0"/>
    <x v="5"/>
    <x v="0"/>
  </r>
  <r>
    <x v="956"/>
    <x v="3"/>
    <x v="1"/>
    <x v="6"/>
    <x v="2"/>
    <x v="2"/>
    <x v="2"/>
    <x v="1"/>
    <x v="2"/>
    <x v="2"/>
    <x v="2"/>
    <x v="1"/>
    <x v="5"/>
    <x v="2"/>
    <x v="2"/>
    <x v="2"/>
    <x v="2"/>
    <x v="2"/>
  </r>
  <r>
    <x v="957"/>
    <x v="0"/>
    <x v="0"/>
    <x v="12"/>
    <x v="25"/>
    <x v="18"/>
    <x v="24"/>
    <x v="0"/>
    <x v="1"/>
    <x v="4"/>
    <x v="6"/>
    <x v="0"/>
    <x v="0"/>
    <x v="11"/>
    <x v="1"/>
    <x v="4"/>
    <x v="6"/>
    <x v="4"/>
  </r>
  <r>
    <x v="958"/>
    <x v="0"/>
    <x v="0"/>
    <x v="20"/>
    <x v="34"/>
    <x v="22"/>
    <x v="23"/>
    <x v="0"/>
    <x v="1"/>
    <x v="4"/>
    <x v="5"/>
    <x v="0"/>
    <x v="0"/>
    <x v="30"/>
    <x v="1"/>
    <x v="4"/>
    <x v="5"/>
    <x v="10"/>
  </r>
  <r>
    <x v="959"/>
    <x v="0"/>
    <x v="1"/>
    <x v="11"/>
    <x v="2"/>
    <x v="2"/>
    <x v="2"/>
    <x v="1"/>
    <x v="2"/>
    <x v="2"/>
    <x v="2"/>
    <x v="1"/>
    <x v="3"/>
    <x v="2"/>
    <x v="2"/>
    <x v="2"/>
    <x v="2"/>
    <x v="2"/>
  </r>
  <r>
    <x v="960"/>
    <x v="0"/>
    <x v="2"/>
    <x v="25"/>
    <x v="30"/>
    <x v="13"/>
    <x v="39"/>
    <x v="0"/>
    <x v="5"/>
    <x v="5"/>
    <x v="3"/>
    <x v="0"/>
    <x v="0"/>
    <x v="9"/>
    <x v="5"/>
    <x v="5"/>
    <x v="3"/>
    <x v="1"/>
  </r>
  <r>
    <x v="961"/>
    <x v="2"/>
    <x v="0"/>
    <x v="10"/>
    <x v="10"/>
    <x v="4"/>
    <x v="4"/>
    <x v="0"/>
    <x v="1"/>
    <x v="3"/>
    <x v="3"/>
    <x v="0"/>
    <x v="0"/>
    <x v="6"/>
    <x v="1"/>
    <x v="3"/>
    <x v="3"/>
    <x v="5"/>
  </r>
  <r>
    <x v="962"/>
    <x v="3"/>
    <x v="1"/>
    <x v="25"/>
    <x v="2"/>
    <x v="2"/>
    <x v="2"/>
    <x v="1"/>
    <x v="2"/>
    <x v="2"/>
    <x v="2"/>
    <x v="1"/>
    <x v="1"/>
    <x v="2"/>
    <x v="2"/>
    <x v="2"/>
    <x v="2"/>
    <x v="2"/>
  </r>
  <r>
    <x v="963"/>
    <x v="1"/>
    <x v="2"/>
    <x v="1"/>
    <x v="19"/>
    <x v="20"/>
    <x v="27"/>
    <x v="0"/>
    <x v="4"/>
    <x v="3"/>
    <x v="4"/>
    <x v="0"/>
    <x v="0"/>
    <x v="20"/>
    <x v="4"/>
    <x v="3"/>
    <x v="4"/>
    <x v="9"/>
  </r>
  <r>
    <x v="964"/>
    <x v="0"/>
    <x v="0"/>
    <x v="18"/>
    <x v="31"/>
    <x v="27"/>
    <x v="5"/>
    <x v="0"/>
    <x v="4"/>
    <x v="3"/>
    <x v="3"/>
    <x v="0"/>
    <x v="0"/>
    <x v="1"/>
    <x v="4"/>
    <x v="3"/>
    <x v="3"/>
    <x v="3"/>
  </r>
  <r>
    <x v="965"/>
    <x v="2"/>
    <x v="0"/>
    <x v="13"/>
    <x v="21"/>
    <x v="23"/>
    <x v="12"/>
    <x v="0"/>
    <x v="5"/>
    <x v="0"/>
    <x v="1"/>
    <x v="0"/>
    <x v="0"/>
    <x v="10"/>
    <x v="5"/>
    <x v="0"/>
    <x v="1"/>
    <x v="11"/>
  </r>
  <r>
    <x v="966"/>
    <x v="2"/>
    <x v="0"/>
    <x v="25"/>
    <x v="30"/>
    <x v="13"/>
    <x v="39"/>
    <x v="0"/>
    <x v="5"/>
    <x v="5"/>
    <x v="3"/>
    <x v="0"/>
    <x v="0"/>
    <x v="18"/>
    <x v="5"/>
    <x v="5"/>
    <x v="3"/>
    <x v="8"/>
  </r>
  <r>
    <x v="967"/>
    <x v="2"/>
    <x v="0"/>
    <x v="13"/>
    <x v="27"/>
    <x v="23"/>
    <x v="27"/>
    <x v="0"/>
    <x v="0"/>
    <x v="1"/>
    <x v="6"/>
    <x v="0"/>
    <x v="0"/>
    <x v="15"/>
    <x v="0"/>
    <x v="1"/>
    <x v="6"/>
    <x v="11"/>
  </r>
  <r>
    <x v="968"/>
    <x v="1"/>
    <x v="1"/>
    <x v="17"/>
    <x v="2"/>
    <x v="2"/>
    <x v="2"/>
    <x v="1"/>
    <x v="2"/>
    <x v="2"/>
    <x v="2"/>
    <x v="1"/>
    <x v="4"/>
    <x v="2"/>
    <x v="2"/>
    <x v="2"/>
    <x v="2"/>
    <x v="2"/>
  </r>
  <r>
    <x v="969"/>
    <x v="0"/>
    <x v="0"/>
    <x v="18"/>
    <x v="0"/>
    <x v="0"/>
    <x v="35"/>
    <x v="0"/>
    <x v="5"/>
    <x v="0"/>
    <x v="5"/>
    <x v="0"/>
    <x v="0"/>
    <x v="51"/>
    <x v="5"/>
    <x v="0"/>
    <x v="5"/>
    <x v="5"/>
  </r>
  <r>
    <x v="970"/>
    <x v="3"/>
    <x v="2"/>
    <x v="0"/>
    <x v="31"/>
    <x v="27"/>
    <x v="17"/>
    <x v="0"/>
    <x v="3"/>
    <x v="3"/>
    <x v="1"/>
    <x v="0"/>
    <x v="0"/>
    <x v="8"/>
    <x v="3"/>
    <x v="3"/>
    <x v="1"/>
    <x v="4"/>
  </r>
  <r>
    <x v="971"/>
    <x v="3"/>
    <x v="1"/>
    <x v="23"/>
    <x v="2"/>
    <x v="2"/>
    <x v="2"/>
    <x v="1"/>
    <x v="2"/>
    <x v="2"/>
    <x v="2"/>
    <x v="1"/>
    <x v="5"/>
    <x v="2"/>
    <x v="2"/>
    <x v="2"/>
    <x v="2"/>
    <x v="2"/>
  </r>
  <r>
    <x v="972"/>
    <x v="2"/>
    <x v="2"/>
    <x v="21"/>
    <x v="22"/>
    <x v="16"/>
    <x v="29"/>
    <x v="0"/>
    <x v="3"/>
    <x v="0"/>
    <x v="4"/>
    <x v="0"/>
    <x v="0"/>
    <x v="20"/>
    <x v="3"/>
    <x v="0"/>
    <x v="4"/>
    <x v="4"/>
  </r>
  <r>
    <x v="973"/>
    <x v="1"/>
    <x v="0"/>
    <x v="12"/>
    <x v="9"/>
    <x v="27"/>
    <x v="5"/>
    <x v="0"/>
    <x v="3"/>
    <x v="4"/>
    <x v="3"/>
    <x v="0"/>
    <x v="0"/>
    <x v="23"/>
    <x v="3"/>
    <x v="4"/>
    <x v="3"/>
    <x v="3"/>
  </r>
  <r>
    <x v="974"/>
    <x v="1"/>
    <x v="0"/>
    <x v="1"/>
    <x v="19"/>
    <x v="25"/>
    <x v="15"/>
    <x v="0"/>
    <x v="4"/>
    <x v="0"/>
    <x v="5"/>
    <x v="0"/>
    <x v="0"/>
    <x v="15"/>
    <x v="4"/>
    <x v="0"/>
    <x v="5"/>
    <x v="11"/>
  </r>
  <r>
    <x v="975"/>
    <x v="1"/>
    <x v="0"/>
    <x v="27"/>
    <x v="24"/>
    <x v="6"/>
    <x v="29"/>
    <x v="0"/>
    <x v="1"/>
    <x v="0"/>
    <x v="0"/>
    <x v="1"/>
    <x v="2"/>
    <x v="2"/>
    <x v="1"/>
    <x v="0"/>
    <x v="0"/>
    <x v="2"/>
  </r>
  <r>
    <x v="976"/>
    <x v="3"/>
    <x v="0"/>
    <x v="18"/>
    <x v="9"/>
    <x v="18"/>
    <x v="24"/>
    <x v="0"/>
    <x v="0"/>
    <x v="3"/>
    <x v="6"/>
    <x v="1"/>
    <x v="5"/>
    <x v="2"/>
    <x v="0"/>
    <x v="3"/>
    <x v="6"/>
    <x v="2"/>
  </r>
  <r>
    <x v="977"/>
    <x v="2"/>
    <x v="1"/>
    <x v="16"/>
    <x v="2"/>
    <x v="2"/>
    <x v="2"/>
    <x v="1"/>
    <x v="2"/>
    <x v="2"/>
    <x v="2"/>
    <x v="1"/>
    <x v="4"/>
    <x v="2"/>
    <x v="2"/>
    <x v="2"/>
    <x v="2"/>
    <x v="2"/>
  </r>
  <r>
    <x v="978"/>
    <x v="0"/>
    <x v="0"/>
    <x v="29"/>
    <x v="14"/>
    <x v="20"/>
    <x v="19"/>
    <x v="0"/>
    <x v="5"/>
    <x v="4"/>
    <x v="3"/>
    <x v="0"/>
    <x v="0"/>
    <x v="15"/>
    <x v="5"/>
    <x v="4"/>
    <x v="3"/>
    <x v="1"/>
  </r>
  <r>
    <x v="979"/>
    <x v="3"/>
    <x v="0"/>
    <x v="11"/>
    <x v="22"/>
    <x v="24"/>
    <x v="29"/>
    <x v="0"/>
    <x v="0"/>
    <x v="3"/>
    <x v="3"/>
    <x v="0"/>
    <x v="0"/>
    <x v="12"/>
    <x v="0"/>
    <x v="3"/>
    <x v="3"/>
    <x v="7"/>
  </r>
  <r>
    <x v="980"/>
    <x v="2"/>
    <x v="2"/>
    <x v="16"/>
    <x v="22"/>
    <x v="6"/>
    <x v="15"/>
    <x v="0"/>
    <x v="4"/>
    <x v="4"/>
    <x v="3"/>
    <x v="0"/>
    <x v="0"/>
    <x v="14"/>
    <x v="4"/>
    <x v="4"/>
    <x v="3"/>
    <x v="6"/>
  </r>
  <r>
    <x v="981"/>
    <x v="2"/>
    <x v="1"/>
    <x v="18"/>
    <x v="2"/>
    <x v="2"/>
    <x v="2"/>
    <x v="1"/>
    <x v="2"/>
    <x v="2"/>
    <x v="2"/>
    <x v="1"/>
    <x v="1"/>
    <x v="2"/>
    <x v="2"/>
    <x v="2"/>
    <x v="2"/>
    <x v="2"/>
  </r>
  <r>
    <x v="982"/>
    <x v="0"/>
    <x v="1"/>
    <x v="4"/>
    <x v="2"/>
    <x v="2"/>
    <x v="2"/>
    <x v="1"/>
    <x v="2"/>
    <x v="2"/>
    <x v="2"/>
    <x v="1"/>
    <x v="4"/>
    <x v="2"/>
    <x v="2"/>
    <x v="2"/>
    <x v="2"/>
    <x v="2"/>
  </r>
  <r>
    <x v="983"/>
    <x v="0"/>
    <x v="0"/>
    <x v="7"/>
    <x v="27"/>
    <x v="13"/>
    <x v="14"/>
    <x v="0"/>
    <x v="5"/>
    <x v="4"/>
    <x v="5"/>
    <x v="0"/>
    <x v="0"/>
    <x v="29"/>
    <x v="5"/>
    <x v="4"/>
    <x v="5"/>
    <x v="0"/>
  </r>
  <r>
    <x v="984"/>
    <x v="0"/>
    <x v="2"/>
    <x v="19"/>
    <x v="4"/>
    <x v="12"/>
    <x v="18"/>
    <x v="0"/>
    <x v="5"/>
    <x v="4"/>
    <x v="6"/>
    <x v="0"/>
    <x v="0"/>
    <x v="0"/>
    <x v="5"/>
    <x v="4"/>
    <x v="6"/>
    <x v="0"/>
  </r>
  <r>
    <x v="985"/>
    <x v="1"/>
    <x v="2"/>
    <x v="12"/>
    <x v="0"/>
    <x v="8"/>
    <x v="35"/>
    <x v="0"/>
    <x v="4"/>
    <x v="3"/>
    <x v="1"/>
    <x v="0"/>
    <x v="0"/>
    <x v="0"/>
    <x v="4"/>
    <x v="3"/>
    <x v="1"/>
    <x v="11"/>
  </r>
  <r>
    <x v="986"/>
    <x v="0"/>
    <x v="2"/>
    <x v="7"/>
    <x v="15"/>
    <x v="5"/>
    <x v="6"/>
    <x v="0"/>
    <x v="1"/>
    <x v="4"/>
    <x v="1"/>
    <x v="0"/>
    <x v="0"/>
    <x v="9"/>
    <x v="1"/>
    <x v="4"/>
    <x v="1"/>
    <x v="1"/>
  </r>
  <r>
    <x v="987"/>
    <x v="2"/>
    <x v="2"/>
    <x v="3"/>
    <x v="34"/>
    <x v="4"/>
    <x v="11"/>
    <x v="0"/>
    <x v="5"/>
    <x v="5"/>
    <x v="6"/>
    <x v="0"/>
    <x v="0"/>
    <x v="24"/>
    <x v="5"/>
    <x v="5"/>
    <x v="6"/>
    <x v="6"/>
  </r>
  <r>
    <x v="988"/>
    <x v="0"/>
    <x v="0"/>
    <x v="0"/>
    <x v="9"/>
    <x v="26"/>
    <x v="17"/>
    <x v="0"/>
    <x v="1"/>
    <x v="5"/>
    <x v="5"/>
    <x v="0"/>
    <x v="0"/>
    <x v="12"/>
    <x v="1"/>
    <x v="5"/>
    <x v="5"/>
    <x v="8"/>
  </r>
  <r>
    <x v="989"/>
    <x v="2"/>
    <x v="1"/>
    <x v="0"/>
    <x v="2"/>
    <x v="2"/>
    <x v="2"/>
    <x v="1"/>
    <x v="2"/>
    <x v="2"/>
    <x v="2"/>
    <x v="1"/>
    <x v="2"/>
    <x v="2"/>
    <x v="2"/>
    <x v="2"/>
    <x v="2"/>
    <x v="2"/>
  </r>
  <r>
    <x v="990"/>
    <x v="3"/>
    <x v="0"/>
    <x v="10"/>
    <x v="4"/>
    <x v="7"/>
    <x v="4"/>
    <x v="0"/>
    <x v="4"/>
    <x v="1"/>
    <x v="4"/>
    <x v="0"/>
    <x v="0"/>
    <x v="7"/>
    <x v="4"/>
    <x v="1"/>
    <x v="4"/>
    <x v="5"/>
  </r>
  <r>
    <x v="991"/>
    <x v="1"/>
    <x v="2"/>
    <x v="22"/>
    <x v="23"/>
    <x v="31"/>
    <x v="4"/>
    <x v="0"/>
    <x v="0"/>
    <x v="5"/>
    <x v="1"/>
    <x v="0"/>
    <x v="0"/>
    <x v="43"/>
    <x v="0"/>
    <x v="5"/>
    <x v="1"/>
    <x v="9"/>
  </r>
  <r>
    <x v="992"/>
    <x v="3"/>
    <x v="2"/>
    <x v="21"/>
    <x v="18"/>
    <x v="8"/>
    <x v="35"/>
    <x v="0"/>
    <x v="5"/>
    <x v="1"/>
    <x v="1"/>
    <x v="0"/>
    <x v="0"/>
    <x v="25"/>
    <x v="5"/>
    <x v="1"/>
    <x v="1"/>
    <x v="7"/>
  </r>
  <r>
    <x v="993"/>
    <x v="3"/>
    <x v="2"/>
    <x v="15"/>
    <x v="12"/>
    <x v="0"/>
    <x v="26"/>
    <x v="0"/>
    <x v="1"/>
    <x v="5"/>
    <x v="6"/>
    <x v="0"/>
    <x v="0"/>
    <x v="0"/>
    <x v="1"/>
    <x v="5"/>
    <x v="6"/>
    <x v="11"/>
  </r>
  <r>
    <x v="994"/>
    <x v="2"/>
    <x v="2"/>
    <x v="3"/>
    <x v="34"/>
    <x v="7"/>
    <x v="37"/>
    <x v="0"/>
    <x v="5"/>
    <x v="3"/>
    <x v="5"/>
    <x v="0"/>
    <x v="0"/>
    <x v="47"/>
    <x v="5"/>
    <x v="3"/>
    <x v="5"/>
    <x v="10"/>
  </r>
  <r>
    <x v="995"/>
    <x v="3"/>
    <x v="2"/>
    <x v="28"/>
    <x v="21"/>
    <x v="17"/>
    <x v="12"/>
    <x v="0"/>
    <x v="1"/>
    <x v="1"/>
    <x v="5"/>
    <x v="0"/>
    <x v="0"/>
    <x v="10"/>
    <x v="1"/>
    <x v="1"/>
    <x v="5"/>
    <x v="7"/>
  </r>
  <r>
    <x v="996"/>
    <x v="2"/>
    <x v="2"/>
    <x v="4"/>
    <x v="22"/>
    <x v="16"/>
    <x v="1"/>
    <x v="0"/>
    <x v="5"/>
    <x v="0"/>
    <x v="3"/>
    <x v="0"/>
    <x v="0"/>
    <x v="3"/>
    <x v="5"/>
    <x v="0"/>
    <x v="3"/>
    <x v="11"/>
  </r>
  <r>
    <x v="997"/>
    <x v="0"/>
    <x v="0"/>
    <x v="11"/>
    <x v="5"/>
    <x v="28"/>
    <x v="9"/>
    <x v="0"/>
    <x v="5"/>
    <x v="0"/>
    <x v="5"/>
    <x v="0"/>
    <x v="0"/>
    <x v="12"/>
    <x v="5"/>
    <x v="0"/>
    <x v="5"/>
    <x v="9"/>
  </r>
  <r>
    <x v="998"/>
    <x v="0"/>
    <x v="1"/>
    <x v="10"/>
    <x v="2"/>
    <x v="2"/>
    <x v="2"/>
    <x v="1"/>
    <x v="2"/>
    <x v="2"/>
    <x v="2"/>
    <x v="1"/>
    <x v="3"/>
    <x v="2"/>
    <x v="2"/>
    <x v="2"/>
    <x v="2"/>
    <x v="2"/>
  </r>
  <r>
    <x v="999"/>
    <x v="2"/>
    <x v="0"/>
    <x v="24"/>
    <x v="19"/>
    <x v="17"/>
    <x v="27"/>
    <x v="0"/>
    <x v="5"/>
    <x v="5"/>
    <x v="3"/>
    <x v="0"/>
    <x v="0"/>
    <x v="19"/>
    <x v="5"/>
    <x v="5"/>
    <x v="3"/>
    <x v="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000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0"/>
    <x v="1"/>
    <x v="1"/>
    <x v="1"/>
    <x v="1"/>
    <x v="0"/>
    <x v="1"/>
    <x v="1"/>
    <x v="1"/>
    <x v="0"/>
    <x v="0"/>
    <x v="1"/>
    <x v="1"/>
    <x v="1"/>
    <x v="1"/>
    <x v="1"/>
    <x v="1"/>
  </r>
  <r>
    <x v="2"/>
    <x v="2"/>
    <x v="1"/>
    <x v="2"/>
    <x v="2"/>
    <x v="2"/>
    <x v="2"/>
    <x v="1"/>
    <x v="2"/>
    <x v="2"/>
    <x v="2"/>
    <x v="1"/>
    <x v="1"/>
    <x v="2"/>
    <x v="2"/>
    <x v="2"/>
    <x v="2"/>
    <x v="2"/>
    <x v="0"/>
  </r>
  <r>
    <x v="3"/>
    <x v="0"/>
    <x v="1"/>
    <x v="3"/>
    <x v="2"/>
    <x v="2"/>
    <x v="2"/>
    <x v="1"/>
    <x v="2"/>
    <x v="2"/>
    <x v="2"/>
    <x v="1"/>
    <x v="2"/>
    <x v="2"/>
    <x v="2"/>
    <x v="2"/>
    <x v="2"/>
    <x v="2"/>
    <x v="0"/>
  </r>
  <r>
    <x v="4"/>
    <x v="1"/>
    <x v="0"/>
    <x v="4"/>
    <x v="3"/>
    <x v="3"/>
    <x v="3"/>
    <x v="0"/>
    <x v="0"/>
    <x v="3"/>
    <x v="3"/>
    <x v="0"/>
    <x v="0"/>
    <x v="3"/>
    <x v="0"/>
    <x v="3"/>
    <x v="3"/>
    <x v="1"/>
    <x v="1"/>
  </r>
  <r>
    <x v="5"/>
    <x v="1"/>
    <x v="0"/>
    <x v="5"/>
    <x v="4"/>
    <x v="4"/>
    <x v="4"/>
    <x v="0"/>
    <x v="0"/>
    <x v="0"/>
    <x v="3"/>
    <x v="0"/>
    <x v="0"/>
    <x v="1"/>
    <x v="0"/>
    <x v="0"/>
    <x v="3"/>
    <x v="3"/>
    <x v="2"/>
  </r>
  <r>
    <x v="6"/>
    <x v="2"/>
    <x v="2"/>
    <x v="6"/>
    <x v="5"/>
    <x v="3"/>
    <x v="5"/>
    <x v="0"/>
    <x v="0"/>
    <x v="4"/>
    <x v="1"/>
    <x v="0"/>
    <x v="0"/>
    <x v="1"/>
    <x v="0"/>
    <x v="4"/>
    <x v="1"/>
    <x v="4"/>
    <x v="2"/>
  </r>
  <r>
    <x v="7"/>
    <x v="3"/>
    <x v="0"/>
    <x v="7"/>
    <x v="6"/>
    <x v="5"/>
    <x v="6"/>
    <x v="0"/>
    <x v="3"/>
    <x v="3"/>
    <x v="1"/>
    <x v="1"/>
    <x v="3"/>
    <x v="2"/>
    <x v="3"/>
    <x v="3"/>
    <x v="1"/>
    <x v="2"/>
    <x v="0"/>
  </r>
  <r>
    <x v="8"/>
    <x v="0"/>
    <x v="2"/>
    <x v="4"/>
    <x v="7"/>
    <x v="6"/>
    <x v="7"/>
    <x v="0"/>
    <x v="1"/>
    <x v="3"/>
    <x v="0"/>
    <x v="0"/>
    <x v="0"/>
    <x v="4"/>
    <x v="1"/>
    <x v="3"/>
    <x v="0"/>
    <x v="1"/>
    <x v="1"/>
  </r>
  <r>
    <x v="9"/>
    <x v="2"/>
    <x v="0"/>
    <x v="8"/>
    <x v="8"/>
    <x v="7"/>
    <x v="8"/>
    <x v="0"/>
    <x v="0"/>
    <x v="4"/>
    <x v="0"/>
    <x v="0"/>
    <x v="0"/>
    <x v="1"/>
    <x v="0"/>
    <x v="4"/>
    <x v="0"/>
    <x v="5"/>
    <x v="0"/>
  </r>
  <r>
    <x v="10"/>
    <x v="0"/>
    <x v="1"/>
    <x v="9"/>
    <x v="2"/>
    <x v="2"/>
    <x v="2"/>
    <x v="1"/>
    <x v="2"/>
    <x v="2"/>
    <x v="2"/>
    <x v="1"/>
    <x v="1"/>
    <x v="2"/>
    <x v="2"/>
    <x v="2"/>
    <x v="2"/>
    <x v="2"/>
    <x v="0"/>
  </r>
  <r>
    <x v="11"/>
    <x v="1"/>
    <x v="0"/>
    <x v="0"/>
    <x v="9"/>
    <x v="8"/>
    <x v="9"/>
    <x v="0"/>
    <x v="1"/>
    <x v="0"/>
    <x v="4"/>
    <x v="0"/>
    <x v="0"/>
    <x v="5"/>
    <x v="1"/>
    <x v="0"/>
    <x v="4"/>
    <x v="6"/>
    <x v="0"/>
  </r>
  <r>
    <x v="12"/>
    <x v="1"/>
    <x v="0"/>
    <x v="10"/>
    <x v="10"/>
    <x v="9"/>
    <x v="10"/>
    <x v="0"/>
    <x v="1"/>
    <x v="1"/>
    <x v="1"/>
    <x v="0"/>
    <x v="0"/>
    <x v="6"/>
    <x v="1"/>
    <x v="1"/>
    <x v="1"/>
    <x v="4"/>
    <x v="2"/>
  </r>
  <r>
    <x v="13"/>
    <x v="3"/>
    <x v="0"/>
    <x v="5"/>
    <x v="11"/>
    <x v="10"/>
    <x v="11"/>
    <x v="0"/>
    <x v="1"/>
    <x v="3"/>
    <x v="5"/>
    <x v="0"/>
    <x v="0"/>
    <x v="7"/>
    <x v="1"/>
    <x v="3"/>
    <x v="5"/>
    <x v="0"/>
    <x v="0"/>
  </r>
  <r>
    <x v="14"/>
    <x v="1"/>
    <x v="2"/>
    <x v="11"/>
    <x v="7"/>
    <x v="11"/>
    <x v="12"/>
    <x v="0"/>
    <x v="4"/>
    <x v="4"/>
    <x v="3"/>
    <x v="1"/>
    <x v="3"/>
    <x v="2"/>
    <x v="4"/>
    <x v="4"/>
    <x v="3"/>
    <x v="2"/>
    <x v="0"/>
  </r>
  <r>
    <x v="15"/>
    <x v="1"/>
    <x v="0"/>
    <x v="12"/>
    <x v="12"/>
    <x v="12"/>
    <x v="13"/>
    <x v="0"/>
    <x v="0"/>
    <x v="1"/>
    <x v="0"/>
    <x v="0"/>
    <x v="0"/>
    <x v="8"/>
    <x v="0"/>
    <x v="1"/>
    <x v="0"/>
    <x v="1"/>
    <x v="1"/>
  </r>
  <r>
    <x v="16"/>
    <x v="2"/>
    <x v="2"/>
    <x v="13"/>
    <x v="13"/>
    <x v="13"/>
    <x v="14"/>
    <x v="0"/>
    <x v="3"/>
    <x v="0"/>
    <x v="5"/>
    <x v="0"/>
    <x v="0"/>
    <x v="9"/>
    <x v="3"/>
    <x v="0"/>
    <x v="5"/>
    <x v="0"/>
    <x v="0"/>
  </r>
  <r>
    <x v="17"/>
    <x v="0"/>
    <x v="2"/>
    <x v="4"/>
    <x v="14"/>
    <x v="11"/>
    <x v="15"/>
    <x v="0"/>
    <x v="3"/>
    <x v="3"/>
    <x v="0"/>
    <x v="0"/>
    <x v="0"/>
    <x v="10"/>
    <x v="3"/>
    <x v="3"/>
    <x v="0"/>
    <x v="6"/>
    <x v="0"/>
  </r>
  <r>
    <x v="18"/>
    <x v="0"/>
    <x v="0"/>
    <x v="14"/>
    <x v="15"/>
    <x v="14"/>
    <x v="16"/>
    <x v="0"/>
    <x v="3"/>
    <x v="1"/>
    <x v="0"/>
    <x v="0"/>
    <x v="0"/>
    <x v="11"/>
    <x v="3"/>
    <x v="1"/>
    <x v="0"/>
    <x v="7"/>
    <x v="0"/>
  </r>
  <r>
    <x v="19"/>
    <x v="2"/>
    <x v="0"/>
    <x v="15"/>
    <x v="0"/>
    <x v="15"/>
    <x v="17"/>
    <x v="0"/>
    <x v="3"/>
    <x v="1"/>
    <x v="4"/>
    <x v="0"/>
    <x v="0"/>
    <x v="11"/>
    <x v="3"/>
    <x v="1"/>
    <x v="4"/>
    <x v="8"/>
    <x v="0"/>
  </r>
  <r>
    <x v="20"/>
    <x v="3"/>
    <x v="0"/>
    <x v="16"/>
    <x v="16"/>
    <x v="16"/>
    <x v="9"/>
    <x v="0"/>
    <x v="0"/>
    <x v="5"/>
    <x v="1"/>
    <x v="0"/>
    <x v="0"/>
    <x v="12"/>
    <x v="0"/>
    <x v="5"/>
    <x v="1"/>
    <x v="5"/>
    <x v="0"/>
  </r>
  <r>
    <x v="21"/>
    <x v="0"/>
    <x v="2"/>
    <x v="8"/>
    <x v="10"/>
    <x v="10"/>
    <x v="18"/>
    <x v="0"/>
    <x v="3"/>
    <x v="4"/>
    <x v="3"/>
    <x v="0"/>
    <x v="0"/>
    <x v="13"/>
    <x v="3"/>
    <x v="4"/>
    <x v="3"/>
    <x v="9"/>
    <x v="0"/>
  </r>
  <r>
    <x v="22"/>
    <x v="1"/>
    <x v="0"/>
    <x v="0"/>
    <x v="9"/>
    <x v="0"/>
    <x v="17"/>
    <x v="0"/>
    <x v="1"/>
    <x v="1"/>
    <x v="3"/>
    <x v="0"/>
    <x v="0"/>
    <x v="14"/>
    <x v="1"/>
    <x v="1"/>
    <x v="3"/>
    <x v="1"/>
    <x v="1"/>
  </r>
  <r>
    <x v="23"/>
    <x v="0"/>
    <x v="0"/>
    <x v="17"/>
    <x v="17"/>
    <x v="17"/>
    <x v="19"/>
    <x v="0"/>
    <x v="4"/>
    <x v="0"/>
    <x v="6"/>
    <x v="0"/>
    <x v="0"/>
    <x v="15"/>
    <x v="4"/>
    <x v="0"/>
    <x v="6"/>
    <x v="9"/>
    <x v="0"/>
  </r>
  <r>
    <x v="24"/>
    <x v="1"/>
    <x v="0"/>
    <x v="18"/>
    <x v="0"/>
    <x v="18"/>
    <x v="0"/>
    <x v="0"/>
    <x v="5"/>
    <x v="5"/>
    <x v="1"/>
    <x v="0"/>
    <x v="0"/>
    <x v="8"/>
    <x v="5"/>
    <x v="5"/>
    <x v="1"/>
    <x v="10"/>
    <x v="0"/>
  </r>
  <r>
    <x v="25"/>
    <x v="3"/>
    <x v="0"/>
    <x v="19"/>
    <x v="12"/>
    <x v="12"/>
    <x v="0"/>
    <x v="0"/>
    <x v="3"/>
    <x v="1"/>
    <x v="4"/>
    <x v="0"/>
    <x v="0"/>
    <x v="10"/>
    <x v="3"/>
    <x v="1"/>
    <x v="4"/>
    <x v="8"/>
    <x v="0"/>
  </r>
  <r>
    <x v="26"/>
    <x v="2"/>
    <x v="0"/>
    <x v="20"/>
    <x v="8"/>
    <x v="19"/>
    <x v="20"/>
    <x v="0"/>
    <x v="5"/>
    <x v="1"/>
    <x v="5"/>
    <x v="0"/>
    <x v="0"/>
    <x v="16"/>
    <x v="5"/>
    <x v="1"/>
    <x v="5"/>
    <x v="10"/>
    <x v="0"/>
  </r>
  <r>
    <x v="27"/>
    <x v="0"/>
    <x v="0"/>
    <x v="21"/>
    <x v="18"/>
    <x v="18"/>
    <x v="21"/>
    <x v="0"/>
    <x v="5"/>
    <x v="0"/>
    <x v="4"/>
    <x v="0"/>
    <x v="0"/>
    <x v="17"/>
    <x v="5"/>
    <x v="0"/>
    <x v="4"/>
    <x v="9"/>
    <x v="0"/>
  </r>
  <r>
    <x v="28"/>
    <x v="2"/>
    <x v="0"/>
    <x v="22"/>
    <x v="11"/>
    <x v="12"/>
    <x v="4"/>
    <x v="0"/>
    <x v="5"/>
    <x v="5"/>
    <x v="5"/>
    <x v="0"/>
    <x v="0"/>
    <x v="14"/>
    <x v="5"/>
    <x v="5"/>
    <x v="5"/>
    <x v="9"/>
    <x v="0"/>
  </r>
  <r>
    <x v="29"/>
    <x v="0"/>
    <x v="1"/>
    <x v="6"/>
    <x v="2"/>
    <x v="2"/>
    <x v="2"/>
    <x v="1"/>
    <x v="2"/>
    <x v="2"/>
    <x v="2"/>
    <x v="1"/>
    <x v="3"/>
    <x v="2"/>
    <x v="2"/>
    <x v="2"/>
    <x v="2"/>
    <x v="2"/>
    <x v="0"/>
  </r>
  <r>
    <x v="30"/>
    <x v="1"/>
    <x v="0"/>
    <x v="11"/>
    <x v="3"/>
    <x v="6"/>
    <x v="15"/>
    <x v="0"/>
    <x v="1"/>
    <x v="5"/>
    <x v="3"/>
    <x v="0"/>
    <x v="0"/>
    <x v="18"/>
    <x v="1"/>
    <x v="5"/>
    <x v="3"/>
    <x v="9"/>
    <x v="0"/>
  </r>
  <r>
    <x v="31"/>
    <x v="2"/>
    <x v="0"/>
    <x v="4"/>
    <x v="14"/>
    <x v="20"/>
    <x v="22"/>
    <x v="0"/>
    <x v="3"/>
    <x v="4"/>
    <x v="6"/>
    <x v="0"/>
    <x v="0"/>
    <x v="14"/>
    <x v="3"/>
    <x v="4"/>
    <x v="6"/>
    <x v="7"/>
    <x v="0"/>
  </r>
  <r>
    <x v="32"/>
    <x v="0"/>
    <x v="0"/>
    <x v="5"/>
    <x v="4"/>
    <x v="7"/>
    <x v="23"/>
    <x v="0"/>
    <x v="0"/>
    <x v="1"/>
    <x v="6"/>
    <x v="0"/>
    <x v="0"/>
    <x v="8"/>
    <x v="0"/>
    <x v="1"/>
    <x v="6"/>
    <x v="9"/>
    <x v="0"/>
  </r>
  <r>
    <x v="33"/>
    <x v="1"/>
    <x v="0"/>
    <x v="15"/>
    <x v="12"/>
    <x v="8"/>
    <x v="24"/>
    <x v="0"/>
    <x v="1"/>
    <x v="4"/>
    <x v="3"/>
    <x v="0"/>
    <x v="0"/>
    <x v="19"/>
    <x v="1"/>
    <x v="4"/>
    <x v="3"/>
    <x v="9"/>
    <x v="0"/>
  </r>
  <r>
    <x v="34"/>
    <x v="2"/>
    <x v="1"/>
    <x v="23"/>
    <x v="2"/>
    <x v="2"/>
    <x v="2"/>
    <x v="1"/>
    <x v="2"/>
    <x v="2"/>
    <x v="2"/>
    <x v="1"/>
    <x v="2"/>
    <x v="2"/>
    <x v="2"/>
    <x v="2"/>
    <x v="2"/>
    <x v="2"/>
    <x v="0"/>
  </r>
  <r>
    <x v="35"/>
    <x v="2"/>
    <x v="0"/>
    <x v="17"/>
    <x v="19"/>
    <x v="17"/>
    <x v="22"/>
    <x v="0"/>
    <x v="0"/>
    <x v="5"/>
    <x v="0"/>
    <x v="0"/>
    <x v="0"/>
    <x v="20"/>
    <x v="0"/>
    <x v="5"/>
    <x v="0"/>
    <x v="3"/>
    <x v="2"/>
  </r>
  <r>
    <x v="36"/>
    <x v="0"/>
    <x v="0"/>
    <x v="1"/>
    <x v="20"/>
    <x v="21"/>
    <x v="6"/>
    <x v="0"/>
    <x v="3"/>
    <x v="4"/>
    <x v="4"/>
    <x v="1"/>
    <x v="4"/>
    <x v="2"/>
    <x v="3"/>
    <x v="4"/>
    <x v="4"/>
    <x v="2"/>
    <x v="0"/>
  </r>
  <r>
    <x v="37"/>
    <x v="0"/>
    <x v="0"/>
    <x v="3"/>
    <x v="4"/>
    <x v="4"/>
    <x v="11"/>
    <x v="0"/>
    <x v="1"/>
    <x v="0"/>
    <x v="6"/>
    <x v="0"/>
    <x v="0"/>
    <x v="21"/>
    <x v="1"/>
    <x v="0"/>
    <x v="6"/>
    <x v="0"/>
    <x v="0"/>
  </r>
  <r>
    <x v="38"/>
    <x v="0"/>
    <x v="0"/>
    <x v="24"/>
    <x v="19"/>
    <x v="20"/>
    <x v="15"/>
    <x v="0"/>
    <x v="5"/>
    <x v="3"/>
    <x v="1"/>
    <x v="0"/>
    <x v="0"/>
    <x v="22"/>
    <x v="5"/>
    <x v="3"/>
    <x v="1"/>
    <x v="3"/>
    <x v="2"/>
  </r>
  <r>
    <x v="39"/>
    <x v="1"/>
    <x v="0"/>
    <x v="5"/>
    <x v="11"/>
    <x v="22"/>
    <x v="11"/>
    <x v="0"/>
    <x v="1"/>
    <x v="0"/>
    <x v="0"/>
    <x v="1"/>
    <x v="1"/>
    <x v="2"/>
    <x v="1"/>
    <x v="0"/>
    <x v="0"/>
    <x v="2"/>
    <x v="0"/>
  </r>
  <r>
    <x v="40"/>
    <x v="0"/>
    <x v="1"/>
    <x v="20"/>
    <x v="2"/>
    <x v="2"/>
    <x v="2"/>
    <x v="1"/>
    <x v="2"/>
    <x v="2"/>
    <x v="2"/>
    <x v="1"/>
    <x v="2"/>
    <x v="2"/>
    <x v="2"/>
    <x v="2"/>
    <x v="2"/>
    <x v="2"/>
    <x v="0"/>
  </r>
  <r>
    <x v="41"/>
    <x v="2"/>
    <x v="0"/>
    <x v="25"/>
    <x v="13"/>
    <x v="5"/>
    <x v="25"/>
    <x v="0"/>
    <x v="1"/>
    <x v="5"/>
    <x v="5"/>
    <x v="0"/>
    <x v="0"/>
    <x v="22"/>
    <x v="1"/>
    <x v="5"/>
    <x v="5"/>
    <x v="5"/>
    <x v="0"/>
  </r>
  <r>
    <x v="42"/>
    <x v="2"/>
    <x v="0"/>
    <x v="17"/>
    <x v="21"/>
    <x v="23"/>
    <x v="12"/>
    <x v="0"/>
    <x v="3"/>
    <x v="0"/>
    <x v="1"/>
    <x v="0"/>
    <x v="0"/>
    <x v="3"/>
    <x v="3"/>
    <x v="0"/>
    <x v="1"/>
    <x v="11"/>
    <x v="1"/>
  </r>
  <r>
    <x v="43"/>
    <x v="0"/>
    <x v="1"/>
    <x v="10"/>
    <x v="2"/>
    <x v="2"/>
    <x v="2"/>
    <x v="1"/>
    <x v="2"/>
    <x v="2"/>
    <x v="2"/>
    <x v="1"/>
    <x v="3"/>
    <x v="2"/>
    <x v="2"/>
    <x v="2"/>
    <x v="2"/>
    <x v="2"/>
    <x v="0"/>
  </r>
  <r>
    <x v="44"/>
    <x v="0"/>
    <x v="2"/>
    <x v="11"/>
    <x v="5"/>
    <x v="24"/>
    <x v="1"/>
    <x v="0"/>
    <x v="5"/>
    <x v="5"/>
    <x v="6"/>
    <x v="0"/>
    <x v="0"/>
    <x v="8"/>
    <x v="5"/>
    <x v="5"/>
    <x v="6"/>
    <x v="1"/>
    <x v="1"/>
  </r>
  <r>
    <x v="45"/>
    <x v="3"/>
    <x v="2"/>
    <x v="24"/>
    <x v="19"/>
    <x v="25"/>
    <x v="15"/>
    <x v="0"/>
    <x v="5"/>
    <x v="0"/>
    <x v="5"/>
    <x v="0"/>
    <x v="0"/>
    <x v="4"/>
    <x v="5"/>
    <x v="0"/>
    <x v="5"/>
    <x v="9"/>
    <x v="0"/>
  </r>
  <r>
    <x v="46"/>
    <x v="2"/>
    <x v="0"/>
    <x v="22"/>
    <x v="12"/>
    <x v="12"/>
    <x v="13"/>
    <x v="0"/>
    <x v="4"/>
    <x v="1"/>
    <x v="0"/>
    <x v="0"/>
    <x v="0"/>
    <x v="23"/>
    <x v="4"/>
    <x v="1"/>
    <x v="0"/>
    <x v="7"/>
    <x v="0"/>
  </r>
  <r>
    <x v="47"/>
    <x v="1"/>
    <x v="1"/>
    <x v="11"/>
    <x v="2"/>
    <x v="2"/>
    <x v="2"/>
    <x v="1"/>
    <x v="2"/>
    <x v="2"/>
    <x v="2"/>
    <x v="1"/>
    <x v="2"/>
    <x v="2"/>
    <x v="2"/>
    <x v="2"/>
    <x v="2"/>
    <x v="2"/>
    <x v="0"/>
  </r>
  <r>
    <x v="48"/>
    <x v="3"/>
    <x v="2"/>
    <x v="23"/>
    <x v="16"/>
    <x v="26"/>
    <x v="17"/>
    <x v="0"/>
    <x v="4"/>
    <x v="1"/>
    <x v="5"/>
    <x v="0"/>
    <x v="0"/>
    <x v="24"/>
    <x v="4"/>
    <x v="1"/>
    <x v="5"/>
    <x v="6"/>
    <x v="0"/>
  </r>
  <r>
    <x v="49"/>
    <x v="0"/>
    <x v="2"/>
    <x v="18"/>
    <x v="9"/>
    <x v="8"/>
    <x v="26"/>
    <x v="0"/>
    <x v="0"/>
    <x v="0"/>
    <x v="0"/>
    <x v="0"/>
    <x v="0"/>
    <x v="1"/>
    <x v="0"/>
    <x v="0"/>
    <x v="0"/>
    <x v="5"/>
    <x v="0"/>
  </r>
  <r>
    <x v="50"/>
    <x v="0"/>
    <x v="2"/>
    <x v="26"/>
    <x v="9"/>
    <x v="27"/>
    <x v="24"/>
    <x v="0"/>
    <x v="4"/>
    <x v="4"/>
    <x v="5"/>
    <x v="0"/>
    <x v="0"/>
    <x v="25"/>
    <x v="4"/>
    <x v="4"/>
    <x v="5"/>
    <x v="5"/>
    <x v="0"/>
  </r>
  <r>
    <x v="51"/>
    <x v="2"/>
    <x v="2"/>
    <x v="27"/>
    <x v="1"/>
    <x v="20"/>
    <x v="27"/>
    <x v="0"/>
    <x v="3"/>
    <x v="5"/>
    <x v="4"/>
    <x v="0"/>
    <x v="0"/>
    <x v="15"/>
    <x v="3"/>
    <x v="5"/>
    <x v="4"/>
    <x v="5"/>
    <x v="0"/>
  </r>
  <r>
    <x v="52"/>
    <x v="0"/>
    <x v="2"/>
    <x v="1"/>
    <x v="1"/>
    <x v="1"/>
    <x v="15"/>
    <x v="0"/>
    <x v="1"/>
    <x v="1"/>
    <x v="6"/>
    <x v="0"/>
    <x v="0"/>
    <x v="20"/>
    <x v="1"/>
    <x v="1"/>
    <x v="6"/>
    <x v="8"/>
    <x v="0"/>
  </r>
  <r>
    <x v="53"/>
    <x v="1"/>
    <x v="0"/>
    <x v="2"/>
    <x v="13"/>
    <x v="5"/>
    <x v="28"/>
    <x v="0"/>
    <x v="5"/>
    <x v="5"/>
    <x v="6"/>
    <x v="0"/>
    <x v="0"/>
    <x v="11"/>
    <x v="5"/>
    <x v="5"/>
    <x v="6"/>
    <x v="8"/>
    <x v="0"/>
  </r>
  <r>
    <x v="54"/>
    <x v="2"/>
    <x v="0"/>
    <x v="6"/>
    <x v="22"/>
    <x v="28"/>
    <x v="21"/>
    <x v="0"/>
    <x v="1"/>
    <x v="1"/>
    <x v="0"/>
    <x v="0"/>
    <x v="0"/>
    <x v="8"/>
    <x v="1"/>
    <x v="1"/>
    <x v="0"/>
    <x v="1"/>
    <x v="1"/>
  </r>
  <r>
    <x v="55"/>
    <x v="0"/>
    <x v="2"/>
    <x v="3"/>
    <x v="23"/>
    <x v="12"/>
    <x v="4"/>
    <x v="0"/>
    <x v="3"/>
    <x v="3"/>
    <x v="5"/>
    <x v="0"/>
    <x v="0"/>
    <x v="7"/>
    <x v="3"/>
    <x v="3"/>
    <x v="5"/>
    <x v="9"/>
    <x v="0"/>
  </r>
  <r>
    <x v="56"/>
    <x v="2"/>
    <x v="0"/>
    <x v="1"/>
    <x v="1"/>
    <x v="11"/>
    <x v="12"/>
    <x v="0"/>
    <x v="1"/>
    <x v="0"/>
    <x v="3"/>
    <x v="0"/>
    <x v="0"/>
    <x v="5"/>
    <x v="1"/>
    <x v="0"/>
    <x v="3"/>
    <x v="5"/>
    <x v="0"/>
  </r>
  <r>
    <x v="57"/>
    <x v="0"/>
    <x v="2"/>
    <x v="14"/>
    <x v="17"/>
    <x v="20"/>
    <x v="15"/>
    <x v="0"/>
    <x v="5"/>
    <x v="1"/>
    <x v="1"/>
    <x v="0"/>
    <x v="0"/>
    <x v="26"/>
    <x v="5"/>
    <x v="1"/>
    <x v="1"/>
    <x v="10"/>
    <x v="0"/>
  </r>
  <r>
    <x v="58"/>
    <x v="0"/>
    <x v="0"/>
    <x v="6"/>
    <x v="3"/>
    <x v="24"/>
    <x v="21"/>
    <x v="0"/>
    <x v="4"/>
    <x v="0"/>
    <x v="1"/>
    <x v="1"/>
    <x v="4"/>
    <x v="2"/>
    <x v="4"/>
    <x v="0"/>
    <x v="1"/>
    <x v="2"/>
    <x v="0"/>
  </r>
  <r>
    <x v="59"/>
    <x v="0"/>
    <x v="0"/>
    <x v="28"/>
    <x v="17"/>
    <x v="23"/>
    <x v="27"/>
    <x v="0"/>
    <x v="0"/>
    <x v="3"/>
    <x v="6"/>
    <x v="0"/>
    <x v="0"/>
    <x v="25"/>
    <x v="0"/>
    <x v="3"/>
    <x v="6"/>
    <x v="0"/>
    <x v="0"/>
  </r>
  <r>
    <x v="60"/>
    <x v="1"/>
    <x v="0"/>
    <x v="9"/>
    <x v="7"/>
    <x v="1"/>
    <x v="29"/>
    <x v="0"/>
    <x v="5"/>
    <x v="5"/>
    <x v="5"/>
    <x v="0"/>
    <x v="0"/>
    <x v="8"/>
    <x v="5"/>
    <x v="5"/>
    <x v="5"/>
    <x v="11"/>
    <x v="1"/>
  </r>
  <r>
    <x v="61"/>
    <x v="1"/>
    <x v="2"/>
    <x v="19"/>
    <x v="4"/>
    <x v="4"/>
    <x v="8"/>
    <x v="0"/>
    <x v="5"/>
    <x v="0"/>
    <x v="5"/>
    <x v="0"/>
    <x v="0"/>
    <x v="27"/>
    <x v="5"/>
    <x v="0"/>
    <x v="5"/>
    <x v="3"/>
    <x v="2"/>
  </r>
  <r>
    <x v="62"/>
    <x v="2"/>
    <x v="0"/>
    <x v="17"/>
    <x v="1"/>
    <x v="1"/>
    <x v="12"/>
    <x v="0"/>
    <x v="5"/>
    <x v="1"/>
    <x v="4"/>
    <x v="0"/>
    <x v="0"/>
    <x v="26"/>
    <x v="5"/>
    <x v="1"/>
    <x v="4"/>
    <x v="9"/>
    <x v="0"/>
  </r>
  <r>
    <x v="63"/>
    <x v="0"/>
    <x v="2"/>
    <x v="1"/>
    <x v="24"/>
    <x v="1"/>
    <x v="1"/>
    <x v="0"/>
    <x v="5"/>
    <x v="3"/>
    <x v="1"/>
    <x v="0"/>
    <x v="0"/>
    <x v="8"/>
    <x v="5"/>
    <x v="3"/>
    <x v="1"/>
    <x v="9"/>
    <x v="0"/>
  </r>
  <r>
    <x v="64"/>
    <x v="0"/>
    <x v="1"/>
    <x v="17"/>
    <x v="2"/>
    <x v="2"/>
    <x v="2"/>
    <x v="1"/>
    <x v="2"/>
    <x v="2"/>
    <x v="2"/>
    <x v="1"/>
    <x v="1"/>
    <x v="2"/>
    <x v="2"/>
    <x v="2"/>
    <x v="2"/>
    <x v="2"/>
    <x v="0"/>
  </r>
  <r>
    <x v="65"/>
    <x v="1"/>
    <x v="0"/>
    <x v="10"/>
    <x v="11"/>
    <x v="4"/>
    <x v="4"/>
    <x v="0"/>
    <x v="3"/>
    <x v="1"/>
    <x v="3"/>
    <x v="0"/>
    <x v="0"/>
    <x v="1"/>
    <x v="3"/>
    <x v="1"/>
    <x v="3"/>
    <x v="4"/>
    <x v="2"/>
  </r>
  <r>
    <x v="66"/>
    <x v="0"/>
    <x v="0"/>
    <x v="18"/>
    <x v="0"/>
    <x v="8"/>
    <x v="17"/>
    <x v="0"/>
    <x v="5"/>
    <x v="3"/>
    <x v="6"/>
    <x v="0"/>
    <x v="0"/>
    <x v="8"/>
    <x v="5"/>
    <x v="3"/>
    <x v="6"/>
    <x v="8"/>
    <x v="0"/>
  </r>
  <r>
    <x v="67"/>
    <x v="1"/>
    <x v="2"/>
    <x v="12"/>
    <x v="25"/>
    <x v="0"/>
    <x v="24"/>
    <x v="0"/>
    <x v="1"/>
    <x v="3"/>
    <x v="4"/>
    <x v="0"/>
    <x v="0"/>
    <x v="12"/>
    <x v="1"/>
    <x v="3"/>
    <x v="4"/>
    <x v="7"/>
    <x v="0"/>
  </r>
  <r>
    <x v="68"/>
    <x v="0"/>
    <x v="1"/>
    <x v="10"/>
    <x v="2"/>
    <x v="2"/>
    <x v="2"/>
    <x v="1"/>
    <x v="2"/>
    <x v="2"/>
    <x v="2"/>
    <x v="1"/>
    <x v="4"/>
    <x v="2"/>
    <x v="2"/>
    <x v="2"/>
    <x v="2"/>
    <x v="2"/>
    <x v="0"/>
  </r>
  <r>
    <x v="69"/>
    <x v="2"/>
    <x v="2"/>
    <x v="17"/>
    <x v="21"/>
    <x v="17"/>
    <x v="27"/>
    <x v="0"/>
    <x v="3"/>
    <x v="1"/>
    <x v="3"/>
    <x v="0"/>
    <x v="0"/>
    <x v="18"/>
    <x v="3"/>
    <x v="1"/>
    <x v="3"/>
    <x v="10"/>
    <x v="0"/>
  </r>
  <r>
    <x v="70"/>
    <x v="0"/>
    <x v="2"/>
    <x v="21"/>
    <x v="5"/>
    <x v="28"/>
    <x v="5"/>
    <x v="0"/>
    <x v="4"/>
    <x v="0"/>
    <x v="6"/>
    <x v="0"/>
    <x v="0"/>
    <x v="11"/>
    <x v="4"/>
    <x v="0"/>
    <x v="6"/>
    <x v="4"/>
    <x v="2"/>
  </r>
  <r>
    <x v="71"/>
    <x v="0"/>
    <x v="0"/>
    <x v="2"/>
    <x v="26"/>
    <x v="29"/>
    <x v="30"/>
    <x v="0"/>
    <x v="1"/>
    <x v="5"/>
    <x v="4"/>
    <x v="0"/>
    <x v="0"/>
    <x v="28"/>
    <x v="1"/>
    <x v="5"/>
    <x v="4"/>
    <x v="11"/>
    <x v="1"/>
  </r>
  <r>
    <x v="72"/>
    <x v="3"/>
    <x v="2"/>
    <x v="16"/>
    <x v="5"/>
    <x v="24"/>
    <x v="29"/>
    <x v="0"/>
    <x v="1"/>
    <x v="5"/>
    <x v="3"/>
    <x v="0"/>
    <x v="0"/>
    <x v="22"/>
    <x v="1"/>
    <x v="5"/>
    <x v="3"/>
    <x v="5"/>
    <x v="0"/>
  </r>
  <r>
    <x v="73"/>
    <x v="1"/>
    <x v="1"/>
    <x v="8"/>
    <x v="2"/>
    <x v="2"/>
    <x v="2"/>
    <x v="1"/>
    <x v="2"/>
    <x v="2"/>
    <x v="2"/>
    <x v="1"/>
    <x v="5"/>
    <x v="2"/>
    <x v="2"/>
    <x v="2"/>
    <x v="2"/>
    <x v="2"/>
    <x v="0"/>
  </r>
  <r>
    <x v="74"/>
    <x v="0"/>
    <x v="0"/>
    <x v="28"/>
    <x v="21"/>
    <x v="21"/>
    <x v="16"/>
    <x v="0"/>
    <x v="1"/>
    <x v="3"/>
    <x v="6"/>
    <x v="0"/>
    <x v="0"/>
    <x v="25"/>
    <x v="1"/>
    <x v="3"/>
    <x v="6"/>
    <x v="6"/>
    <x v="0"/>
  </r>
  <r>
    <x v="75"/>
    <x v="0"/>
    <x v="2"/>
    <x v="25"/>
    <x v="13"/>
    <x v="30"/>
    <x v="27"/>
    <x v="0"/>
    <x v="1"/>
    <x v="1"/>
    <x v="1"/>
    <x v="0"/>
    <x v="0"/>
    <x v="17"/>
    <x v="1"/>
    <x v="1"/>
    <x v="1"/>
    <x v="10"/>
    <x v="0"/>
  </r>
  <r>
    <x v="76"/>
    <x v="3"/>
    <x v="0"/>
    <x v="24"/>
    <x v="27"/>
    <x v="14"/>
    <x v="6"/>
    <x v="0"/>
    <x v="3"/>
    <x v="3"/>
    <x v="3"/>
    <x v="0"/>
    <x v="0"/>
    <x v="3"/>
    <x v="3"/>
    <x v="3"/>
    <x v="3"/>
    <x v="1"/>
    <x v="1"/>
  </r>
  <r>
    <x v="77"/>
    <x v="3"/>
    <x v="1"/>
    <x v="15"/>
    <x v="2"/>
    <x v="2"/>
    <x v="2"/>
    <x v="1"/>
    <x v="2"/>
    <x v="2"/>
    <x v="2"/>
    <x v="1"/>
    <x v="1"/>
    <x v="2"/>
    <x v="2"/>
    <x v="2"/>
    <x v="2"/>
    <x v="2"/>
    <x v="0"/>
  </r>
  <r>
    <x v="78"/>
    <x v="1"/>
    <x v="1"/>
    <x v="4"/>
    <x v="2"/>
    <x v="2"/>
    <x v="2"/>
    <x v="1"/>
    <x v="2"/>
    <x v="2"/>
    <x v="2"/>
    <x v="1"/>
    <x v="4"/>
    <x v="2"/>
    <x v="2"/>
    <x v="2"/>
    <x v="2"/>
    <x v="2"/>
    <x v="0"/>
  </r>
  <r>
    <x v="79"/>
    <x v="3"/>
    <x v="0"/>
    <x v="6"/>
    <x v="3"/>
    <x v="6"/>
    <x v="1"/>
    <x v="0"/>
    <x v="4"/>
    <x v="5"/>
    <x v="5"/>
    <x v="1"/>
    <x v="3"/>
    <x v="2"/>
    <x v="4"/>
    <x v="5"/>
    <x v="5"/>
    <x v="2"/>
    <x v="0"/>
  </r>
  <r>
    <x v="80"/>
    <x v="2"/>
    <x v="1"/>
    <x v="21"/>
    <x v="2"/>
    <x v="2"/>
    <x v="2"/>
    <x v="1"/>
    <x v="2"/>
    <x v="2"/>
    <x v="2"/>
    <x v="1"/>
    <x v="1"/>
    <x v="2"/>
    <x v="2"/>
    <x v="2"/>
    <x v="2"/>
    <x v="2"/>
    <x v="0"/>
  </r>
  <r>
    <x v="81"/>
    <x v="3"/>
    <x v="1"/>
    <x v="22"/>
    <x v="2"/>
    <x v="2"/>
    <x v="2"/>
    <x v="1"/>
    <x v="2"/>
    <x v="2"/>
    <x v="2"/>
    <x v="1"/>
    <x v="1"/>
    <x v="2"/>
    <x v="2"/>
    <x v="2"/>
    <x v="2"/>
    <x v="2"/>
    <x v="0"/>
  </r>
  <r>
    <x v="82"/>
    <x v="2"/>
    <x v="0"/>
    <x v="24"/>
    <x v="21"/>
    <x v="21"/>
    <x v="27"/>
    <x v="0"/>
    <x v="4"/>
    <x v="3"/>
    <x v="0"/>
    <x v="0"/>
    <x v="0"/>
    <x v="29"/>
    <x v="4"/>
    <x v="3"/>
    <x v="0"/>
    <x v="7"/>
    <x v="0"/>
  </r>
  <r>
    <x v="83"/>
    <x v="1"/>
    <x v="2"/>
    <x v="12"/>
    <x v="28"/>
    <x v="31"/>
    <x v="18"/>
    <x v="0"/>
    <x v="5"/>
    <x v="3"/>
    <x v="0"/>
    <x v="0"/>
    <x v="0"/>
    <x v="24"/>
    <x v="5"/>
    <x v="3"/>
    <x v="0"/>
    <x v="7"/>
    <x v="0"/>
  </r>
  <r>
    <x v="84"/>
    <x v="1"/>
    <x v="0"/>
    <x v="6"/>
    <x v="5"/>
    <x v="24"/>
    <x v="5"/>
    <x v="0"/>
    <x v="0"/>
    <x v="5"/>
    <x v="5"/>
    <x v="0"/>
    <x v="0"/>
    <x v="23"/>
    <x v="0"/>
    <x v="5"/>
    <x v="5"/>
    <x v="8"/>
    <x v="0"/>
  </r>
  <r>
    <x v="85"/>
    <x v="1"/>
    <x v="1"/>
    <x v="0"/>
    <x v="2"/>
    <x v="2"/>
    <x v="2"/>
    <x v="1"/>
    <x v="2"/>
    <x v="2"/>
    <x v="2"/>
    <x v="1"/>
    <x v="2"/>
    <x v="2"/>
    <x v="2"/>
    <x v="2"/>
    <x v="2"/>
    <x v="2"/>
    <x v="0"/>
  </r>
  <r>
    <x v="86"/>
    <x v="1"/>
    <x v="2"/>
    <x v="12"/>
    <x v="9"/>
    <x v="8"/>
    <x v="24"/>
    <x v="0"/>
    <x v="3"/>
    <x v="0"/>
    <x v="3"/>
    <x v="0"/>
    <x v="0"/>
    <x v="24"/>
    <x v="3"/>
    <x v="0"/>
    <x v="3"/>
    <x v="11"/>
    <x v="1"/>
  </r>
  <r>
    <x v="87"/>
    <x v="1"/>
    <x v="1"/>
    <x v="6"/>
    <x v="2"/>
    <x v="2"/>
    <x v="2"/>
    <x v="1"/>
    <x v="2"/>
    <x v="2"/>
    <x v="2"/>
    <x v="1"/>
    <x v="3"/>
    <x v="2"/>
    <x v="2"/>
    <x v="2"/>
    <x v="2"/>
    <x v="2"/>
    <x v="0"/>
  </r>
  <r>
    <x v="88"/>
    <x v="2"/>
    <x v="2"/>
    <x v="11"/>
    <x v="7"/>
    <x v="6"/>
    <x v="1"/>
    <x v="0"/>
    <x v="4"/>
    <x v="3"/>
    <x v="5"/>
    <x v="0"/>
    <x v="0"/>
    <x v="30"/>
    <x v="4"/>
    <x v="3"/>
    <x v="5"/>
    <x v="7"/>
    <x v="0"/>
  </r>
  <r>
    <x v="89"/>
    <x v="2"/>
    <x v="2"/>
    <x v="19"/>
    <x v="12"/>
    <x v="31"/>
    <x v="18"/>
    <x v="0"/>
    <x v="3"/>
    <x v="0"/>
    <x v="0"/>
    <x v="0"/>
    <x v="0"/>
    <x v="1"/>
    <x v="3"/>
    <x v="0"/>
    <x v="0"/>
    <x v="1"/>
    <x v="1"/>
  </r>
  <r>
    <x v="90"/>
    <x v="1"/>
    <x v="0"/>
    <x v="2"/>
    <x v="29"/>
    <x v="32"/>
    <x v="31"/>
    <x v="0"/>
    <x v="3"/>
    <x v="3"/>
    <x v="0"/>
    <x v="0"/>
    <x v="0"/>
    <x v="17"/>
    <x v="3"/>
    <x v="3"/>
    <x v="0"/>
    <x v="6"/>
    <x v="0"/>
  </r>
  <r>
    <x v="91"/>
    <x v="3"/>
    <x v="2"/>
    <x v="25"/>
    <x v="30"/>
    <x v="21"/>
    <x v="14"/>
    <x v="0"/>
    <x v="5"/>
    <x v="1"/>
    <x v="3"/>
    <x v="0"/>
    <x v="0"/>
    <x v="19"/>
    <x v="5"/>
    <x v="1"/>
    <x v="3"/>
    <x v="3"/>
    <x v="2"/>
  </r>
  <r>
    <x v="92"/>
    <x v="0"/>
    <x v="1"/>
    <x v="29"/>
    <x v="2"/>
    <x v="2"/>
    <x v="2"/>
    <x v="1"/>
    <x v="2"/>
    <x v="2"/>
    <x v="2"/>
    <x v="1"/>
    <x v="5"/>
    <x v="2"/>
    <x v="2"/>
    <x v="2"/>
    <x v="2"/>
    <x v="2"/>
    <x v="0"/>
  </r>
  <r>
    <x v="93"/>
    <x v="1"/>
    <x v="1"/>
    <x v="24"/>
    <x v="2"/>
    <x v="2"/>
    <x v="2"/>
    <x v="1"/>
    <x v="2"/>
    <x v="2"/>
    <x v="2"/>
    <x v="1"/>
    <x v="4"/>
    <x v="2"/>
    <x v="2"/>
    <x v="2"/>
    <x v="2"/>
    <x v="2"/>
    <x v="0"/>
  </r>
  <r>
    <x v="94"/>
    <x v="3"/>
    <x v="1"/>
    <x v="27"/>
    <x v="2"/>
    <x v="2"/>
    <x v="2"/>
    <x v="1"/>
    <x v="2"/>
    <x v="2"/>
    <x v="2"/>
    <x v="1"/>
    <x v="2"/>
    <x v="2"/>
    <x v="2"/>
    <x v="2"/>
    <x v="2"/>
    <x v="2"/>
    <x v="0"/>
  </r>
  <r>
    <x v="95"/>
    <x v="0"/>
    <x v="0"/>
    <x v="12"/>
    <x v="0"/>
    <x v="8"/>
    <x v="26"/>
    <x v="0"/>
    <x v="4"/>
    <x v="3"/>
    <x v="0"/>
    <x v="0"/>
    <x v="0"/>
    <x v="20"/>
    <x v="4"/>
    <x v="3"/>
    <x v="0"/>
    <x v="3"/>
    <x v="2"/>
  </r>
  <r>
    <x v="96"/>
    <x v="1"/>
    <x v="2"/>
    <x v="24"/>
    <x v="20"/>
    <x v="17"/>
    <x v="32"/>
    <x v="0"/>
    <x v="0"/>
    <x v="3"/>
    <x v="1"/>
    <x v="1"/>
    <x v="4"/>
    <x v="2"/>
    <x v="0"/>
    <x v="3"/>
    <x v="1"/>
    <x v="2"/>
    <x v="0"/>
  </r>
  <r>
    <x v="97"/>
    <x v="1"/>
    <x v="0"/>
    <x v="29"/>
    <x v="1"/>
    <x v="17"/>
    <x v="12"/>
    <x v="0"/>
    <x v="0"/>
    <x v="4"/>
    <x v="5"/>
    <x v="0"/>
    <x v="0"/>
    <x v="20"/>
    <x v="0"/>
    <x v="4"/>
    <x v="5"/>
    <x v="5"/>
    <x v="0"/>
  </r>
  <r>
    <x v="98"/>
    <x v="2"/>
    <x v="0"/>
    <x v="26"/>
    <x v="25"/>
    <x v="31"/>
    <x v="4"/>
    <x v="0"/>
    <x v="0"/>
    <x v="1"/>
    <x v="1"/>
    <x v="0"/>
    <x v="0"/>
    <x v="31"/>
    <x v="0"/>
    <x v="1"/>
    <x v="1"/>
    <x v="6"/>
    <x v="0"/>
  </r>
  <r>
    <x v="99"/>
    <x v="0"/>
    <x v="0"/>
    <x v="23"/>
    <x v="31"/>
    <x v="18"/>
    <x v="0"/>
    <x v="0"/>
    <x v="1"/>
    <x v="1"/>
    <x v="1"/>
    <x v="0"/>
    <x v="0"/>
    <x v="8"/>
    <x v="1"/>
    <x v="1"/>
    <x v="1"/>
    <x v="4"/>
    <x v="2"/>
  </r>
  <r>
    <x v="100"/>
    <x v="0"/>
    <x v="2"/>
    <x v="9"/>
    <x v="1"/>
    <x v="11"/>
    <x v="12"/>
    <x v="0"/>
    <x v="4"/>
    <x v="0"/>
    <x v="3"/>
    <x v="0"/>
    <x v="0"/>
    <x v="15"/>
    <x v="4"/>
    <x v="0"/>
    <x v="3"/>
    <x v="10"/>
    <x v="0"/>
  </r>
  <r>
    <x v="101"/>
    <x v="3"/>
    <x v="0"/>
    <x v="6"/>
    <x v="22"/>
    <x v="16"/>
    <x v="21"/>
    <x v="0"/>
    <x v="1"/>
    <x v="0"/>
    <x v="5"/>
    <x v="0"/>
    <x v="0"/>
    <x v="20"/>
    <x v="1"/>
    <x v="0"/>
    <x v="5"/>
    <x v="10"/>
    <x v="0"/>
  </r>
  <r>
    <x v="102"/>
    <x v="2"/>
    <x v="0"/>
    <x v="21"/>
    <x v="16"/>
    <x v="28"/>
    <x v="33"/>
    <x v="0"/>
    <x v="1"/>
    <x v="3"/>
    <x v="3"/>
    <x v="0"/>
    <x v="0"/>
    <x v="14"/>
    <x v="1"/>
    <x v="3"/>
    <x v="3"/>
    <x v="6"/>
    <x v="0"/>
  </r>
  <r>
    <x v="103"/>
    <x v="2"/>
    <x v="1"/>
    <x v="16"/>
    <x v="2"/>
    <x v="2"/>
    <x v="2"/>
    <x v="1"/>
    <x v="2"/>
    <x v="2"/>
    <x v="2"/>
    <x v="1"/>
    <x v="5"/>
    <x v="2"/>
    <x v="2"/>
    <x v="2"/>
    <x v="2"/>
    <x v="2"/>
    <x v="0"/>
  </r>
  <r>
    <x v="104"/>
    <x v="2"/>
    <x v="1"/>
    <x v="9"/>
    <x v="2"/>
    <x v="2"/>
    <x v="2"/>
    <x v="1"/>
    <x v="2"/>
    <x v="2"/>
    <x v="2"/>
    <x v="1"/>
    <x v="5"/>
    <x v="2"/>
    <x v="2"/>
    <x v="2"/>
    <x v="2"/>
    <x v="2"/>
    <x v="0"/>
  </r>
  <r>
    <x v="105"/>
    <x v="2"/>
    <x v="0"/>
    <x v="4"/>
    <x v="7"/>
    <x v="1"/>
    <x v="3"/>
    <x v="0"/>
    <x v="1"/>
    <x v="5"/>
    <x v="0"/>
    <x v="0"/>
    <x v="0"/>
    <x v="19"/>
    <x v="1"/>
    <x v="5"/>
    <x v="0"/>
    <x v="0"/>
    <x v="0"/>
  </r>
  <r>
    <x v="106"/>
    <x v="0"/>
    <x v="0"/>
    <x v="15"/>
    <x v="23"/>
    <x v="12"/>
    <x v="18"/>
    <x v="0"/>
    <x v="5"/>
    <x v="3"/>
    <x v="6"/>
    <x v="1"/>
    <x v="1"/>
    <x v="2"/>
    <x v="5"/>
    <x v="3"/>
    <x v="6"/>
    <x v="2"/>
    <x v="0"/>
  </r>
  <r>
    <x v="107"/>
    <x v="0"/>
    <x v="0"/>
    <x v="21"/>
    <x v="18"/>
    <x v="28"/>
    <x v="33"/>
    <x v="0"/>
    <x v="5"/>
    <x v="4"/>
    <x v="3"/>
    <x v="0"/>
    <x v="0"/>
    <x v="11"/>
    <x v="5"/>
    <x v="4"/>
    <x v="3"/>
    <x v="4"/>
    <x v="2"/>
  </r>
  <r>
    <x v="108"/>
    <x v="1"/>
    <x v="2"/>
    <x v="1"/>
    <x v="20"/>
    <x v="17"/>
    <x v="27"/>
    <x v="0"/>
    <x v="3"/>
    <x v="3"/>
    <x v="3"/>
    <x v="0"/>
    <x v="0"/>
    <x v="14"/>
    <x v="3"/>
    <x v="3"/>
    <x v="3"/>
    <x v="8"/>
    <x v="0"/>
  </r>
  <r>
    <x v="109"/>
    <x v="1"/>
    <x v="1"/>
    <x v="9"/>
    <x v="2"/>
    <x v="2"/>
    <x v="2"/>
    <x v="1"/>
    <x v="2"/>
    <x v="2"/>
    <x v="2"/>
    <x v="1"/>
    <x v="5"/>
    <x v="2"/>
    <x v="2"/>
    <x v="2"/>
    <x v="2"/>
    <x v="2"/>
    <x v="0"/>
  </r>
  <r>
    <x v="110"/>
    <x v="2"/>
    <x v="1"/>
    <x v="12"/>
    <x v="2"/>
    <x v="2"/>
    <x v="2"/>
    <x v="1"/>
    <x v="2"/>
    <x v="2"/>
    <x v="2"/>
    <x v="1"/>
    <x v="4"/>
    <x v="2"/>
    <x v="2"/>
    <x v="2"/>
    <x v="2"/>
    <x v="2"/>
    <x v="0"/>
  </r>
  <r>
    <x v="111"/>
    <x v="2"/>
    <x v="0"/>
    <x v="11"/>
    <x v="24"/>
    <x v="25"/>
    <x v="12"/>
    <x v="0"/>
    <x v="3"/>
    <x v="4"/>
    <x v="6"/>
    <x v="0"/>
    <x v="0"/>
    <x v="15"/>
    <x v="3"/>
    <x v="4"/>
    <x v="6"/>
    <x v="0"/>
    <x v="0"/>
  </r>
  <r>
    <x v="112"/>
    <x v="2"/>
    <x v="0"/>
    <x v="17"/>
    <x v="17"/>
    <x v="23"/>
    <x v="19"/>
    <x v="0"/>
    <x v="4"/>
    <x v="3"/>
    <x v="0"/>
    <x v="1"/>
    <x v="3"/>
    <x v="2"/>
    <x v="4"/>
    <x v="3"/>
    <x v="0"/>
    <x v="2"/>
    <x v="0"/>
  </r>
  <r>
    <x v="113"/>
    <x v="1"/>
    <x v="2"/>
    <x v="29"/>
    <x v="20"/>
    <x v="20"/>
    <x v="32"/>
    <x v="0"/>
    <x v="4"/>
    <x v="0"/>
    <x v="5"/>
    <x v="0"/>
    <x v="0"/>
    <x v="31"/>
    <x v="4"/>
    <x v="0"/>
    <x v="5"/>
    <x v="5"/>
    <x v="0"/>
  </r>
  <r>
    <x v="114"/>
    <x v="3"/>
    <x v="0"/>
    <x v="17"/>
    <x v="1"/>
    <x v="25"/>
    <x v="19"/>
    <x v="0"/>
    <x v="5"/>
    <x v="3"/>
    <x v="4"/>
    <x v="0"/>
    <x v="0"/>
    <x v="32"/>
    <x v="5"/>
    <x v="3"/>
    <x v="4"/>
    <x v="4"/>
    <x v="2"/>
  </r>
  <r>
    <x v="115"/>
    <x v="3"/>
    <x v="2"/>
    <x v="24"/>
    <x v="27"/>
    <x v="21"/>
    <x v="16"/>
    <x v="0"/>
    <x v="3"/>
    <x v="0"/>
    <x v="6"/>
    <x v="0"/>
    <x v="0"/>
    <x v="5"/>
    <x v="3"/>
    <x v="0"/>
    <x v="6"/>
    <x v="1"/>
    <x v="1"/>
  </r>
  <r>
    <x v="116"/>
    <x v="1"/>
    <x v="1"/>
    <x v="7"/>
    <x v="2"/>
    <x v="2"/>
    <x v="2"/>
    <x v="1"/>
    <x v="2"/>
    <x v="2"/>
    <x v="2"/>
    <x v="1"/>
    <x v="3"/>
    <x v="2"/>
    <x v="2"/>
    <x v="2"/>
    <x v="2"/>
    <x v="2"/>
    <x v="0"/>
  </r>
  <r>
    <x v="117"/>
    <x v="1"/>
    <x v="2"/>
    <x v="15"/>
    <x v="0"/>
    <x v="18"/>
    <x v="21"/>
    <x v="0"/>
    <x v="3"/>
    <x v="5"/>
    <x v="4"/>
    <x v="0"/>
    <x v="0"/>
    <x v="32"/>
    <x v="3"/>
    <x v="5"/>
    <x v="4"/>
    <x v="10"/>
    <x v="0"/>
  </r>
  <r>
    <x v="118"/>
    <x v="1"/>
    <x v="0"/>
    <x v="28"/>
    <x v="21"/>
    <x v="14"/>
    <x v="16"/>
    <x v="0"/>
    <x v="1"/>
    <x v="5"/>
    <x v="0"/>
    <x v="0"/>
    <x v="0"/>
    <x v="22"/>
    <x v="1"/>
    <x v="5"/>
    <x v="0"/>
    <x v="7"/>
    <x v="0"/>
  </r>
  <r>
    <x v="119"/>
    <x v="1"/>
    <x v="1"/>
    <x v="1"/>
    <x v="2"/>
    <x v="2"/>
    <x v="2"/>
    <x v="1"/>
    <x v="2"/>
    <x v="2"/>
    <x v="2"/>
    <x v="1"/>
    <x v="1"/>
    <x v="2"/>
    <x v="2"/>
    <x v="2"/>
    <x v="2"/>
    <x v="2"/>
    <x v="0"/>
  </r>
  <r>
    <x v="120"/>
    <x v="1"/>
    <x v="0"/>
    <x v="7"/>
    <x v="30"/>
    <x v="21"/>
    <x v="14"/>
    <x v="0"/>
    <x v="0"/>
    <x v="1"/>
    <x v="3"/>
    <x v="0"/>
    <x v="0"/>
    <x v="33"/>
    <x v="0"/>
    <x v="1"/>
    <x v="3"/>
    <x v="10"/>
    <x v="0"/>
  </r>
  <r>
    <x v="121"/>
    <x v="1"/>
    <x v="2"/>
    <x v="15"/>
    <x v="28"/>
    <x v="31"/>
    <x v="0"/>
    <x v="0"/>
    <x v="0"/>
    <x v="3"/>
    <x v="3"/>
    <x v="0"/>
    <x v="0"/>
    <x v="24"/>
    <x v="0"/>
    <x v="3"/>
    <x v="3"/>
    <x v="0"/>
    <x v="0"/>
  </r>
  <r>
    <x v="122"/>
    <x v="2"/>
    <x v="2"/>
    <x v="21"/>
    <x v="31"/>
    <x v="18"/>
    <x v="17"/>
    <x v="0"/>
    <x v="0"/>
    <x v="1"/>
    <x v="0"/>
    <x v="0"/>
    <x v="0"/>
    <x v="19"/>
    <x v="0"/>
    <x v="1"/>
    <x v="0"/>
    <x v="5"/>
    <x v="0"/>
  </r>
  <r>
    <x v="123"/>
    <x v="2"/>
    <x v="2"/>
    <x v="8"/>
    <x v="32"/>
    <x v="33"/>
    <x v="34"/>
    <x v="0"/>
    <x v="5"/>
    <x v="3"/>
    <x v="5"/>
    <x v="0"/>
    <x v="0"/>
    <x v="16"/>
    <x v="5"/>
    <x v="3"/>
    <x v="5"/>
    <x v="7"/>
    <x v="0"/>
  </r>
  <r>
    <x v="124"/>
    <x v="2"/>
    <x v="0"/>
    <x v="22"/>
    <x v="23"/>
    <x v="31"/>
    <x v="13"/>
    <x v="0"/>
    <x v="0"/>
    <x v="5"/>
    <x v="5"/>
    <x v="0"/>
    <x v="0"/>
    <x v="30"/>
    <x v="0"/>
    <x v="5"/>
    <x v="5"/>
    <x v="8"/>
    <x v="0"/>
  </r>
  <r>
    <x v="125"/>
    <x v="2"/>
    <x v="2"/>
    <x v="12"/>
    <x v="12"/>
    <x v="8"/>
    <x v="35"/>
    <x v="0"/>
    <x v="0"/>
    <x v="4"/>
    <x v="1"/>
    <x v="0"/>
    <x v="0"/>
    <x v="14"/>
    <x v="0"/>
    <x v="4"/>
    <x v="1"/>
    <x v="6"/>
    <x v="0"/>
  </r>
  <r>
    <x v="126"/>
    <x v="1"/>
    <x v="0"/>
    <x v="14"/>
    <x v="27"/>
    <x v="23"/>
    <x v="19"/>
    <x v="0"/>
    <x v="1"/>
    <x v="1"/>
    <x v="0"/>
    <x v="0"/>
    <x v="0"/>
    <x v="29"/>
    <x v="1"/>
    <x v="1"/>
    <x v="0"/>
    <x v="8"/>
    <x v="0"/>
  </r>
  <r>
    <x v="127"/>
    <x v="3"/>
    <x v="1"/>
    <x v="28"/>
    <x v="2"/>
    <x v="2"/>
    <x v="2"/>
    <x v="1"/>
    <x v="2"/>
    <x v="2"/>
    <x v="2"/>
    <x v="1"/>
    <x v="4"/>
    <x v="2"/>
    <x v="2"/>
    <x v="2"/>
    <x v="2"/>
    <x v="2"/>
    <x v="0"/>
  </r>
  <r>
    <x v="128"/>
    <x v="0"/>
    <x v="2"/>
    <x v="28"/>
    <x v="27"/>
    <x v="23"/>
    <x v="19"/>
    <x v="0"/>
    <x v="4"/>
    <x v="1"/>
    <x v="0"/>
    <x v="0"/>
    <x v="0"/>
    <x v="34"/>
    <x v="4"/>
    <x v="1"/>
    <x v="0"/>
    <x v="8"/>
    <x v="0"/>
  </r>
  <r>
    <x v="129"/>
    <x v="1"/>
    <x v="1"/>
    <x v="15"/>
    <x v="2"/>
    <x v="2"/>
    <x v="2"/>
    <x v="1"/>
    <x v="2"/>
    <x v="2"/>
    <x v="2"/>
    <x v="1"/>
    <x v="4"/>
    <x v="2"/>
    <x v="2"/>
    <x v="2"/>
    <x v="2"/>
    <x v="2"/>
    <x v="0"/>
  </r>
  <r>
    <x v="130"/>
    <x v="0"/>
    <x v="1"/>
    <x v="6"/>
    <x v="2"/>
    <x v="2"/>
    <x v="2"/>
    <x v="1"/>
    <x v="2"/>
    <x v="2"/>
    <x v="2"/>
    <x v="1"/>
    <x v="5"/>
    <x v="2"/>
    <x v="2"/>
    <x v="2"/>
    <x v="2"/>
    <x v="2"/>
    <x v="0"/>
  </r>
  <r>
    <x v="131"/>
    <x v="3"/>
    <x v="2"/>
    <x v="17"/>
    <x v="1"/>
    <x v="20"/>
    <x v="15"/>
    <x v="0"/>
    <x v="5"/>
    <x v="5"/>
    <x v="1"/>
    <x v="0"/>
    <x v="0"/>
    <x v="25"/>
    <x v="5"/>
    <x v="5"/>
    <x v="1"/>
    <x v="8"/>
    <x v="0"/>
  </r>
  <r>
    <x v="132"/>
    <x v="2"/>
    <x v="1"/>
    <x v="15"/>
    <x v="2"/>
    <x v="2"/>
    <x v="2"/>
    <x v="1"/>
    <x v="2"/>
    <x v="2"/>
    <x v="2"/>
    <x v="1"/>
    <x v="4"/>
    <x v="2"/>
    <x v="2"/>
    <x v="2"/>
    <x v="2"/>
    <x v="2"/>
    <x v="0"/>
  </r>
  <r>
    <x v="133"/>
    <x v="3"/>
    <x v="0"/>
    <x v="23"/>
    <x v="5"/>
    <x v="24"/>
    <x v="33"/>
    <x v="0"/>
    <x v="3"/>
    <x v="5"/>
    <x v="0"/>
    <x v="0"/>
    <x v="0"/>
    <x v="24"/>
    <x v="3"/>
    <x v="5"/>
    <x v="0"/>
    <x v="0"/>
    <x v="0"/>
  </r>
  <r>
    <x v="134"/>
    <x v="1"/>
    <x v="1"/>
    <x v="22"/>
    <x v="2"/>
    <x v="2"/>
    <x v="2"/>
    <x v="1"/>
    <x v="2"/>
    <x v="2"/>
    <x v="2"/>
    <x v="1"/>
    <x v="2"/>
    <x v="2"/>
    <x v="2"/>
    <x v="2"/>
    <x v="2"/>
    <x v="2"/>
    <x v="0"/>
  </r>
  <r>
    <x v="135"/>
    <x v="2"/>
    <x v="0"/>
    <x v="16"/>
    <x v="5"/>
    <x v="3"/>
    <x v="1"/>
    <x v="0"/>
    <x v="1"/>
    <x v="4"/>
    <x v="0"/>
    <x v="0"/>
    <x v="0"/>
    <x v="10"/>
    <x v="1"/>
    <x v="4"/>
    <x v="0"/>
    <x v="9"/>
    <x v="0"/>
  </r>
  <r>
    <x v="136"/>
    <x v="1"/>
    <x v="0"/>
    <x v="18"/>
    <x v="9"/>
    <x v="0"/>
    <x v="18"/>
    <x v="0"/>
    <x v="0"/>
    <x v="1"/>
    <x v="1"/>
    <x v="0"/>
    <x v="0"/>
    <x v="24"/>
    <x v="0"/>
    <x v="1"/>
    <x v="1"/>
    <x v="6"/>
    <x v="0"/>
  </r>
  <r>
    <x v="137"/>
    <x v="2"/>
    <x v="0"/>
    <x v="29"/>
    <x v="17"/>
    <x v="21"/>
    <x v="27"/>
    <x v="0"/>
    <x v="3"/>
    <x v="5"/>
    <x v="0"/>
    <x v="1"/>
    <x v="5"/>
    <x v="2"/>
    <x v="3"/>
    <x v="5"/>
    <x v="0"/>
    <x v="2"/>
    <x v="0"/>
  </r>
  <r>
    <x v="138"/>
    <x v="0"/>
    <x v="1"/>
    <x v="7"/>
    <x v="2"/>
    <x v="2"/>
    <x v="2"/>
    <x v="1"/>
    <x v="2"/>
    <x v="2"/>
    <x v="2"/>
    <x v="1"/>
    <x v="2"/>
    <x v="2"/>
    <x v="2"/>
    <x v="2"/>
    <x v="2"/>
    <x v="2"/>
    <x v="0"/>
  </r>
  <r>
    <x v="139"/>
    <x v="0"/>
    <x v="0"/>
    <x v="5"/>
    <x v="11"/>
    <x v="12"/>
    <x v="13"/>
    <x v="0"/>
    <x v="1"/>
    <x v="5"/>
    <x v="0"/>
    <x v="0"/>
    <x v="0"/>
    <x v="21"/>
    <x v="1"/>
    <x v="5"/>
    <x v="0"/>
    <x v="7"/>
    <x v="0"/>
  </r>
  <r>
    <x v="140"/>
    <x v="0"/>
    <x v="0"/>
    <x v="28"/>
    <x v="20"/>
    <x v="21"/>
    <x v="14"/>
    <x v="0"/>
    <x v="5"/>
    <x v="4"/>
    <x v="3"/>
    <x v="0"/>
    <x v="0"/>
    <x v="5"/>
    <x v="5"/>
    <x v="4"/>
    <x v="3"/>
    <x v="6"/>
    <x v="0"/>
  </r>
  <r>
    <x v="141"/>
    <x v="3"/>
    <x v="1"/>
    <x v="29"/>
    <x v="2"/>
    <x v="2"/>
    <x v="2"/>
    <x v="1"/>
    <x v="2"/>
    <x v="2"/>
    <x v="2"/>
    <x v="1"/>
    <x v="1"/>
    <x v="2"/>
    <x v="2"/>
    <x v="2"/>
    <x v="2"/>
    <x v="2"/>
    <x v="0"/>
  </r>
  <r>
    <x v="142"/>
    <x v="1"/>
    <x v="2"/>
    <x v="24"/>
    <x v="20"/>
    <x v="21"/>
    <x v="6"/>
    <x v="0"/>
    <x v="0"/>
    <x v="4"/>
    <x v="4"/>
    <x v="0"/>
    <x v="0"/>
    <x v="18"/>
    <x v="0"/>
    <x v="4"/>
    <x v="4"/>
    <x v="8"/>
    <x v="0"/>
  </r>
  <r>
    <x v="143"/>
    <x v="3"/>
    <x v="2"/>
    <x v="9"/>
    <x v="7"/>
    <x v="3"/>
    <x v="33"/>
    <x v="0"/>
    <x v="5"/>
    <x v="0"/>
    <x v="5"/>
    <x v="0"/>
    <x v="0"/>
    <x v="14"/>
    <x v="5"/>
    <x v="0"/>
    <x v="5"/>
    <x v="10"/>
    <x v="0"/>
  </r>
  <r>
    <x v="144"/>
    <x v="0"/>
    <x v="2"/>
    <x v="14"/>
    <x v="27"/>
    <x v="14"/>
    <x v="25"/>
    <x v="0"/>
    <x v="1"/>
    <x v="3"/>
    <x v="4"/>
    <x v="0"/>
    <x v="0"/>
    <x v="5"/>
    <x v="1"/>
    <x v="3"/>
    <x v="4"/>
    <x v="5"/>
    <x v="0"/>
  </r>
  <r>
    <x v="145"/>
    <x v="1"/>
    <x v="0"/>
    <x v="29"/>
    <x v="17"/>
    <x v="17"/>
    <x v="27"/>
    <x v="0"/>
    <x v="3"/>
    <x v="0"/>
    <x v="3"/>
    <x v="0"/>
    <x v="0"/>
    <x v="17"/>
    <x v="3"/>
    <x v="0"/>
    <x v="3"/>
    <x v="10"/>
    <x v="0"/>
  </r>
  <r>
    <x v="146"/>
    <x v="0"/>
    <x v="2"/>
    <x v="2"/>
    <x v="33"/>
    <x v="34"/>
    <x v="30"/>
    <x v="0"/>
    <x v="4"/>
    <x v="4"/>
    <x v="6"/>
    <x v="0"/>
    <x v="0"/>
    <x v="35"/>
    <x v="4"/>
    <x v="4"/>
    <x v="6"/>
    <x v="5"/>
    <x v="0"/>
  </r>
  <r>
    <x v="147"/>
    <x v="3"/>
    <x v="1"/>
    <x v="12"/>
    <x v="2"/>
    <x v="2"/>
    <x v="2"/>
    <x v="1"/>
    <x v="2"/>
    <x v="2"/>
    <x v="2"/>
    <x v="1"/>
    <x v="3"/>
    <x v="2"/>
    <x v="2"/>
    <x v="2"/>
    <x v="2"/>
    <x v="2"/>
    <x v="0"/>
  </r>
  <r>
    <x v="148"/>
    <x v="3"/>
    <x v="2"/>
    <x v="21"/>
    <x v="31"/>
    <x v="28"/>
    <x v="1"/>
    <x v="0"/>
    <x v="0"/>
    <x v="5"/>
    <x v="4"/>
    <x v="0"/>
    <x v="0"/>
    <x v="24"/>
    <x v="0"/>
    <x v="5"/>
    <x v="4"/>
    <x v="7"/>
    <x v="0"/>
  </r>
  <r>
    <x v="149"/>
    <x v="3"/>
    <x v="0"/>
    <x v="13"/>
    <x v="21"/>
    <x v="30"/>
    <x v="6"/>
    <x v="0"/>
    <x v="5"/>
    <x v="4"/>
    <x v="6"/>
    <x v="0"/>
    <x v="0"/>
    <x v="3"/>
    <x v="5"/>
    <x v="4"/>
    <x v="6"/>
    <x v="8"/>
    <x v="0"/>
  </r>
  <r>
    <x v="150"/>
    <x v="0"/>
    <x v="2"/>
    <x v="17"/>
    <x v="21"/>
    <x v="17"/>
    <x v="27"/>
    <x v="0"/>
    <x v="3"/>
    <x v="1"/>
    <x v="3"/>
    <x v="0"/>
    <x v="0"/>
    <x v="14"/>
    <x v="3"/>
    <x v="1"/>
    <x v="3"/>
    <x v="0"/>
    <x v="0"/>
  </r>
  <r>
    <x v="151"/>
    <x v="1"/>
    <x v="1"/>
    <x v="30"/>
    <x v="2"/>
    <x v="2"/>
    <x v="2"/>
    <x v="1"/>
    <x v="2"/>
    <x v="2"/>
    <x v="2"/>
    <x v="1"/>
    <x v="1"/>
    <x v="2"/>
    <x v="2"/>
    <x v="2"/>
    <x v="2"/>
    <x v="2"/>
    <x v="0"/>
  </r>
  <r>
    <x v="152"/>
    <x v="1"/>
    <x v="1"/>
    <x v="30"/>
    <x v="2"/>
    <x v="2"/>
    <x v="2"/>
    <x v="1"/>
    <x v="2"/>
    <x v="2"/>
    <x v="2"/>
    <x v="1"/>
    <x v="3"/>
    <x v="2"/>
    <x v="2"/>
    <x v="2"/>
    <x v="2"/>
    <x v="2"/>
    <x v="0"/>
  </r>
  <r>
    <x v="153"/>
    <x v="0"/>
    <x v="0"/>
    <x v="21"/>
    <x v="22"/>
    <x v="3"/>
    <x v="33"/>
    <x v="0"/>
    <x v="3"/>
    <x v="5"/>
    <x v="5"/>
    <x v="0"/>
    <x v="0"/>
    <x v="19"/>
    <x v="3"/>
    <x v="5"/>
    <x v="5"/>
    <x v="11"/>
    <x v="1"/>
  </r>
  <r>
    <x v="154"/>
    <x v="1"/>
    <x v="1"/>
    <x v="29"/>
    <x v="2"/>
    <x v="2"/>
    <x v="2"/>
    <x v="1"/>
    <x v="2"/>
    <x v="2"/>
    <x v="2"/>
    <x v="1"/>
    <x v="1"/>
    <x v="2"/>
    <x v="2"/>
    <x v="2"/>
    <x v="2"/>
    <x v="2"/>
    <x v="0"/>
  </r>
  <r>
    <x v="155"/>
    <x v="0"/>
    <x v="2"/>
    <x v="12"/>
    <x v="0"/>
    <x v="0"/>
    <x v="26"/>
    <x v="0"/>
    <x v="4"/>
    <x v="0"/>
    <x v="6"/>
    <x v="0"/>
    <x v="0"/>
    <x v="14"/>
    <x v="4"/>
    <x v="0"/>
    <x v="6"/>
    <x v="8"/>
    <x v="0"/>
  </r>
  <r>
    <x v="156"/>
    <x v="1"/>
    <x v="1"/>
    <x v="8"/>
    <x v="2"/>
    <x v="2"/>
    <x v="2"/>
    <x v="1"/>
    <x v="2"/>
    <x v="2"/>
    <x v="2"/>
    <x v="1"/>
    <x v="4"/>
    <x v="2"/>
    <x v="2"/>
    <x v="2"/>
    <x v="2"/>
    <x v="2"/>
    <x v="0"/>
  </r>
  <r>
    <x v="157"/>
    <x v="2"/>
    <x v="2"/>
    <x v="13"/>
    <x v="30"/>
    <x v="14"/>
    <x v="6"/>
    <x v="0"/>
    <x v="1"/>
    <x v="0"/>
    <x v="3"/>
    <x v="0"/>
    <x v="0"/>
    <x v="32"/>
    <x v="1"/>
    <x v="0"/>
    <x v="3"/>
    <x v="1"/>
    <x v="1"/>
  </r>
  <r>
    <x v="158"/>
    <x v="2"/>
    <x v="1"/>
    <x v="0"/>
    <x v="2"/>
    <x v="2"/>
    <x v="2"/>
    <x v="1"/>
    <x v="2"/>
    <x v="2"/>
    <x v="2"/>
    <x v="1"/>
    <x v="2"/>
    <x v="2"/>
    <x v="2"/>
    <x v="2"/>
    <x v="2"/>
    <x v="2"/>
    <x v="0"/>
  </r>
  <r>
    <x v="159"/>
    <x v="3"/>
    <x v="2"/>
    <x v="3"/>
    <x v="11"/>
    <x v="22"/>
    <x v="11"/>
    <x v="0"/>
    <x v="4"/>
    <x v="0"/>
    <x v="0"/>
    <x v="0"/>
    <x v="0"/>
    <x v="24"/>
    <x v="4"/>
    <x v="0"/>
    <x v="0"/>
    <x v="7"/>
    <x v="0"/>
  </r>
  <r>
    <x v="160"/>
    <x v="2"/>
    <x v="0"/>
    <x v="22"/>
    <x v="12"/>
    <x v="0"/>
    <x v="35"/>
    <x v="0"/>
    <x v="4"/>
    <x v="5"/>
    <x v="5"/>
    <x v="0"/>
    <x v="0"/>
    <x v="20"/>
    <x v="4"/>
    <x v="5"/>
    <x v="5"/>
    <x v="9"/>
    <x v="0"/>
  </r>
  <r>
    <x v="161"/>
    <x v="2"/>
    <x v="0"/>
    <x v="6"/>
    <x v="22"/>
    <x v="24"/>
    <x v="21"/>
    <x v="0"/>
    <x v="1"/>
    <x v="3"/>
    <x v="1"/>
    <x v="0"/>
    <x v="0"/>
    <x v="14"/>
    <x v="1"/>
    <x v="3"/>
    <x v="1"/>
    <x v="0"/>
    <x v="0"/>
  </r>
  <r>
    <x v="162"/>
    <x v="2"/>
    <x v="2"/>
    <x v="7"/>
    <x v="15"/>
    <x v="13"/>
    <x v="6"/>
    <x v="0"/>
    <x v="1"/>
    <x v="3"/>
    <x v="0"/>
    <x v="0"/>
    <x v="0"/>
    <x v="36"/>
    <x v="1"/>
    <x v="3"/>
    <x v="0"/>
    <x v="11"/>
    <x v="1"/>
  </r>
  <r>
    <x v="163"/>
    <x v="0"/>
    <x v="2"/>
    <x v="3"/>
    <x v="4"/>
    <x v="22"/>
    <x v="23"/>
    <x v="0"/>
    <x v="1"/>
    <x v="3"/>
    <x v="5"/>
    <x v="0"/>
    <x v="0"/>
    <x v="21"/>
    <x v="1"/>
    <x v="3"/>
    <x v="5"/>
    <x v="7"/>
    <x v="0"/>
  </r>
  <r>
    <x v="164"/>
    <x v="2"/>
    <x v="2"/>
    <x v="2"/>
    <x v="29"/>
    <x v="35"/>
    <x v="36"/>
    <x v="0"/>
    <x v="3"/>
    <x v="4"/>
    <x v="5"/>
    <x v="0"/>
    <x v="0"/>
    <x v="37"/>
    <x v="3"/>
    <x v="4"/>
    <x v="5"/>
    <x v="5"/>
    <x v="0"/>
  </r>
  <r>
    <x v="165"/>
    <x v="2"/>
    <x v="0"/>
    <x v="23"/>
    <x v="5"/>
    <x v="3"/>
    <x v="15"/>
    <x v="0"/>
    <x v="3"/>
    <x v="4"/>
    <x v="4"/>
    <x v="0"/>
    <x v="0"/>
    <x v="4"/>
    <x v="3"/>
    <x v="4"/>
    <x v="4"/>
    <x v="0"/>
    <x v="0"/>
  </r>
  <r>
    <x v="166"/>
    <x v="3"/>
    <x v="0"/>
    <x v="29"/>
    <x v="1"/>
    <x v="1"/>
    <x v="29"/>
    <x v="0"/>
    <x v="0"/>
    <x v="1"/>
    <x v="5"/>
    <x v="1"/>
    <x v="3"/>
    <x v="2"/>
    <x v="0"/>
    <x v="1"/>
    <x v="5"/>
    <x v="2"/>
    <x v="0"/>
  </r>
  <r>
    <x v="167"/>
    <x v="2"/>
    <x v="2"/>
    <x v="6"/>
    <x v="5"/>
    <x v="24"/>
    <x v="3"/>
    <x v="0"/>
    <x v="0"/>
    <x v="5"/>
    <x v="4"/>
    <x v="1"/>
    <x v="5"/>
    <x v="2"/>
    <x v="0"/>
    <x v="5"/>
    <x v="4"/>
    <x v="2"/>
    <x v="0"/>
  </r>
  <r>
    <x v="168"/>
    <x v="2"/>
    <x v="0"/>
    <x v="6"/>
    <x v="3"/>
    <x v="16"/>
    <x v="33"/>
    <x v="0"/>
    <x v="4"/>
    <x v="1"/>
    <x v="6"/>
    <x v="0"/>
    <x v="0"/>
    <x v="32"/>
    <x v="4"/>
    <x v="1"/>
    <x v="6"/>
    <x v="7"/>
    <x v="0"/>
  </r>
  <r>
    <x v="169"/>
    <x v="1"/>
    <x v="2"/>
    <x v="11"/>
    <x v="7"/>
    <x v="11"/>
    <x v="3"/>
    <x v="0"/>
    <x v="4"/>
    <x v="4"/>
    <x v="5"/>
    <x v="0"/>
    <x v="0"/>
    <x v="19"/>
    <x v="4"/>
    <x v="4"/>
    <x v="5"/>
    <x v="0"/>
    <x v="0"/>
  </r>
  <r>
    <x v="170"/>
    <x v="3"/>
    <x v="1"/>
    <x v="1"/>
    <x v="2"/>
    <x v="2"/>
    <x v="2"/>
    <x v="1"/>
    <x v="2"/>
    <x v="2"/>
    <x v="2"/>
    <x v="1"/>
    <x v="2"/>
    <x v="2"/>
    <x v="2"/>
    <x v="2"/>
    <x v="2"/>
    <x v="2"/>
    <x v="0"/>
  </r>
  <r>
    <x v="171"/>
    <x v="3"/>
    <x v="2"/>
    <x v="14"/>
    <x v="21"/>
    <x v="14"/>
    <x v="14"/>
    <x v="0"/>
    <x v="0"/>
    <x v="5"/>
    <x v="6"/>
    <x v="0"/>
    <x v="0"/>
    <x v="38"/>
    <x v="0"/>
    <x v="5"/>
    <x v="6"/>
    <x v="10"/>
    <x v="0"/>
  </r>
  <r>
    <x v="172"/>
    <x v="3"/>
    <x v="2"/>
    <x v="8"/>
    <x v="32"/>
    <x v="19"/>
    <x v="20"/>
    <x v="0"/>
    <x v="5"/>
    <x v="0"/>
    <x v="5"/>
    <x v="0"/>
    <x v="0"/>
    <x v="7"/>
    <x v="5"/>
    <x v="0"/>
    <x v="5"/>
    <x v="1"/>
    <x v="1"/>
  </r>
  <r>
    <x v="173"/>
    <x v="3"/>
    <x v="2"/>
    <x v="30"/>
    <x v="26"/>
    <x v="29"/>
    <x v="30"/>
    <x v="0"/>
    <x v="4"/>
    <x v="5"/>
    <x v="4"/>
    <x v="0"/>
    <x v="0"/>
    <x v="28"/>
    <x v="4"/>
    <x v="5"/>
    <x v="4"/>
    <x v="5"/>
    <x v="0"/>
  </r>
  <r>
    <x v="174"/>
    <x v="3"/>
    <x v="0"/>
    <x v="17"/>
    <x v="1"/>
    <x v="17"/>
    <x v="32"/>
    <x v="0"/>
    <x v="5"/>
    <x v="4"/>
    <x v="1"/>
    <x v="0"/>
    <x v="0"/>
    <x v="39"/>
    <x v="5"/>
    <x v="4"/>
    <x v="1"/>
    <x v="5"/>
    <x v="0"/>
  </r>
  <r>
    <x v="175"/>
    <x v="3"/>
    <x v="1"/>
    <x v="8"/>
    <x v="2"/>
    <x v="2"/>
    <x v="2"/>
    <x v="1"/>
    <x v="2"/>
    <x v="2"/>
    <x v="2"/>
    <x v="1"/>
    <x v="5"/>
    <x v="2"/>
    <x v="2"/>
    <x v="2"/>
    <x v="2"/>
    <x v="2"/>
    <x v="0"/>
  </r>
  <r>
    <x v="176"/>
    <x v="0"/>
    <x v="0"/>
    <x v="3"/>
    <x v="34"/>
    <x v="9"/>
    <x v="37"/>
    <x v="0"/>
    <x v="5"/>
    <x v="0"/>
    <x v="0"/>
    <x v="0"/>
    <x v="0"/>
    <x v="40"/>
    <x v="5"/>
    <x v="0"/>
    <x v="0"/>
    <x v="9"/>
    <x v="0"/>
  </r>
  <r>
    <x v="177"/>
    <x v="2"/>
    <x v="2"/>
    <x v="6"/>
    <x v="22"/>
    <x v="16"/>
    <x v="21"/>
    <x v="0"/>
    <x v="1"/>
    <x v="0"/>
    <x v="5"/>
    <x v="0"/>
    <x v="0"/>
    <x v="5"/>
    <x v="1"/>
    <x v="0"/>
    <x v="5"/>
    <x v="7"/>
    <x v="0"/>
  </r>
  <r>
    <x v="178"/>
    <x v="3"/>
    <x v="0"/>
    <x v="7"/>
    <x v="6"/>
    <x v="36"/>
    <x v="31"/>
    <x v="0"/>
    <x v="3"/>
    <x v="5"/>
    <x v="3"/>
    <x v="0"/>
    <x v="0"/>
    <x v="34"/>
    <x v="3"/>
    <x v="5"/>
    <x v="3"/>
    <x v="3"/>
    <x v="2"/>
  </r>
  <r>
    <x v="179"/>
    <x v="2"/>
    <x v="0"/>
    <x v="5"/>
    <x v="4"/>
    <x v="22"/>
    <x v="11"/>
    <x v="0"/>
    <x v="0"/>
    <x v="3"/>
    <x v="0"/>
    <x v="0"/>
    <x v="0"/>
    <x v="7"/>
    <x v="0"/>
    <x v="3"/>
    <x v="0"/>
    <x v="8"/>
    <x v="0"/>
  </r>
  <r>
    <x v="180"/>
    <x v="2"/>
    <x v="2"/>
    <x v="25"/>
    <x v="26"/>
    <x v="32"/>
    <x v="38"/>
    <x v="0"/>
    <x v="3"/>
    <x v="4"/>
    <x v="4"/>
    <x v="0"/>
    <x v="0"/>
    <x v="4"/>
    <x v="3"/>
    <x v="4"/>
    <x v="4"/>
    <x v="10"/>
    <x v="0"/>
  </r>
  <r>
    <x v="181"/>
    <x v="0"/>
    <x v="0"/>
    <x v="27"/>
    <x v="7"/>
    <x v="11"/>
    <x v="29"/>
    <x v="0"/>
    <x v="0"/>
    <x v="4"/>
    <x v="1"/>
    <x v="0"/>
    <x v="0"/>
    <x v="12"/>
    <x v="0"/>
    <x v="4"/>
    <x v="1"/>
    <x v="8"/>
    <x v="0"/>
  </r>
  <r>
    <x v="182"/>
    <x v="3"/>
    <x v="1"/>
    <x v="6"/>
    <x v="2"/>
    <x v="2"/>
    <x v="2"/>
    <x v="1"/>
    <x v="2"/>
    <x v="2"/>
    <x v="2"/>
    <x v="1"/>
    <x v="2"/>
    <x v="2"/>
    <x v="2"/>
    <x v="2"/>
    <x v="2"/>
    <x v="2"/>
    <x v="0"/>
  </r>
  <r>
    <x v="183"/>
    <x v="1"/>
    <x v="2"/>
    <x v="25"/>
    <x v="26"/>
    <x v="36"/>
    <x v="25"/>
    <x v="0"/>
    <x v="3"/>
    <x v="3"/>
    <x v="1"/>
    <x v="0"/>
    <x v="0"/>
    <x v="41"/>
    <x v="3"/>
    <x v="3"/>
    <x v="1"/>
    <x v="5"/>
    <x v="0"/>
  </r>
  <r>
    <x v="184"/>
    <x v="0"/>
    <x v="0"/>
    <x v="23"/>
    <x v="18"/>
    <x v="8"/>
    <x v="24"/>
    <x v="0"/>
    <x v="0"/>
    <x v="1"/>
    <x v="3"/>
    <x v="0"/>
    <x v="0"/>
    <x v="8"/>
    <x v="0"/>
    <x v="1"/>
    <x v="3"/>
    <x v="9"/>
    <x v="0"/>
  </r>
  <r>
    <x v="185"/>
    <x v="1"/>
    <x v="0"/>
    <x v="0"/>
    <x v="31"/>
    <x v="18"/>
    <x v="24"/>
    <x v="0"/>
    <x v="3"/>
    <x v="1"/>
    <x v="6"/>
    <x v="0"/>
    <x v="0"/>
    <x v="6"/>
    <x v="3"/>
    <x v="1"/>
    <x v="6"/>
    <x v="0"/>
    <x v="0"/>
  </r>
  <r>
    <x v="186"/>
    <x v="2"/>
    <x v="0"/>
    <x v="26"/>
    <x v="0"/>
    <x v="26"/>
    <x v="5"/>
    <x v="0"/>
    <x v="1"/>
    <x v="4"/>
    <x v="4"/>
    <x v="0"/>
    <x v="0"/>
    <x v="3"/>
    <x v="1"/>
    <x v="4"/>
    <x v="4"/>
    <x v="9"/>
    <x v="0"/>
  </r>
  <r>
    <x v="187"/>
    <x v="2"/>
    <x v="2"/>
    <x v="30"/>
    <x v="15"/>
    <x v="13"/>
    <x v="6"/>
    <x v="0"/>
    <x v="5"/>
    <x v="3"/>
    <x v="0"/>
    <x v="0"/>
    <x v="0"/>
    <x v="19"/>
    <x v="5"/>
    <x v="3"/>
    <x v="0"/>
    <x v="11"/>
    <x v="1"/>
  </r>
  <r>
    <x v="188"/>
    <x v="0"/>
    <x v="2"/>
    <x v="13"/>
    <x v="27"/>
    <x v="14"/>
    <x v="14"/>
    <x v="0"/>
    <x v="0"/>
    <x v="3"/>
    <x v="6"/>
    <x v="0"/>
    <x v="0"/>
    <x v="32"/>
    <x v="0"/>
    <x v="3"/>
    <x v="6"/>
    <x v="3"/>
    <x v="2"/>
  </r>
  <r>
    <x v="189"/>
    <x v="0"/>
    <x v="1"/>
    <x v="13"/>
    <x v="2"/>
    <x v="2"/>
    <x v="2"/>
    <x v="1"/>
    <x v="2"/>
    <x v="2"/>
    <x v="2"/>
    <x v="1"/>
    <x v="2"/>
    <x v="2"/>
    <x v="2"/>
    <x v="2"/>
    <x v="2"/>
    <x v="2"/>
    <x v="0"/>
  </r>
  <r>
    <x v="190"/>
    <x v="1"/>
    <x v="1"/>
    <x v="19"/>
    <x v="2"/>
    <x v="2"/>
    <x v="2"/>
    <x v="1"/>
    <x v="2"/>
    <x v="2"/>
    <x v="2"/>
    <x v="1"/>
    <x v="1"/>
    <x v="2"/>
    <x v="2"/>
    <x v="2"/>
    <x v="2"/>
    <x v="2"/>
    <x v="0"/>
  </r>
  <r>
    <x v="191"/>
    <x v="3"/>
    <x v="0"/>
    <x v="23"/>
    <x v="9"/>
    <x v="8"/>
    <x v="17"/>
    <x v="0"/>
    <x v="5"/>
    <x v="0"/>
    <x v="6"/>
    <x v="0"/>
    <x v="0"/>
    <x v="42"/>
    <x v="5"/>
    <x v="0"/>
    <x v="6"/>
    <x v="4"/>
    <x v="2"/>
  </r>
  <r>
    <x v="192"/>
    <x v="1"/>
    <x v="0"/>
    <x v="8"/>
    <x v="8"/>
    <x v="19"/>
    <x v="37"/>
    <x v="0"/>
    <x v="0"/>
    <x v="1"/>
    <x v="4"/>
    <x v="1"/>
    <x v="3"/>
    <x v="2"/>
    <x v="0"/>
    <x v="1"/>
    <x v="4"/>
    <x v="2"/>
    <x v="0"/>
  </r>
  <r>
    <x v="193"/>
    <x v="0"/>
    <x v="0"/>
    <x v="29"/>
    <x v="1"/>
    <x v="1"/>
    <x v="3"/>
    <x v="0"/>
    <x v="0"/>
    <x v="1"/>
    <x v="0"/>
    <x v="0"/>
    <x v="0"/>
    <x v="22"/>
    <x v="0"/>
    <x v="1"/>
    <x v="0"/>
    <x v="7"/>
    <x v="0"/>
  </r>
  <r>
    <x v="194"/>
    <x v="1"/>
    <x v="0"/>
    <x v="25"/>
    <x v="13"/>
    <x v="13"/>
    <x v="28"/>
    <x v="0"/>
    <x v="1"/>
    <x v="0"/>
    <x v="4"/>
    <x v="0"/>
    <x v="0"/>
    <x v="36"/>
    <x v="1"/>
    <x v="0"/>
    <x v="4"/>
    <x v="9"/>
    <x v="0"/>
  </r>
  <r>
    <x v="195"/>
    <x v="0"/>
    <x v="0"/>
    <x v="24"/>
    <x v="27"/>
    <x v="30"/>
    <x v="25"/>
    <x v="0"/>
    <x v="3"/>
    <x v="5"/>
    <x v="3"/>
    <x v="0"/>
    <x v="0"/>
    <x v="39"/>
    <x v="3"/>
    <x v="5"/>
    <x v="3"/>
    <x v="3"/>
    <x v="2"/>
  </r>
  <r>
    <x v="196"/>
    <x v="1"/>
    <x v="2"/>
    <x v="7"/>
    <x v="30"/>
    <x v="21"/>
    <x v="14"/>
    <x v="0"/>
    <x v="0"/>
    <x v="1"/>
    <x v="3"/>
    <x v="0"/>
    <x v="0"/>
    <x v="33"/>
    <x v="0"/>
    <x v="1"/>
    <x v="3"/>
    <x v="4"/>
    <x v="2"/>
  </r>
  <r>
    <x v="197"/>
    <x v="0"/>
    <x v="1"/>
    <x v="21"/>
    <x v="2"/>
    <x v="2"/>
    <x v="2"/>
    <x v="1"/>
    <x v="2"/>
    <x v="2"/>
    <x v="2"/>
    <x v="1"/>
    <x v="3"/>
    <x v="2"/>
    <x v="2"/>
    <x v="2"/>
    <x v="2"/>
    <x v="2"/>
    <x v="0"/>
  </r>
  <r>
    <x v="198"/>
    <x v="0"/>
    <x v="0"/>
    <x v="22"/>
    <x v="25"/>
    <x v="15"/>
    <x v="13"/>
    <x v="0"/>
    <x v="3"/>
    <x v="0"/>
    <x v="1"/>
    <x v="0"/>
    <x v="0"/>
    <x v="1"/>
    <x v="3"/>
    <x v="0"/>
    <x v="1"/>
    <x v="1"/>
    <x v="1"/>
  </r>
  <r>
    <x v="199"/>
    <x v="0"/>
    <x v="1"/>
    <x v="4"/>
    <x v="2"/>
    <x v="2"/>
    <x v="2"/>
    <x v="1"/>
    <x v="2"/>
    <x v="2"/>
    <x v="2"/>
    <x v="1"/>
    <x v="2"/>
    <x v="2"/>
    <x v="2"/>
    <x v="2"/>
    <x v="2"/>
    <x v="2"/>
    <x v="0"/>
  </r>
  <r>
    <x v="200"/>
    <x v="3"/>
    <x v="2"/>
    <x v="18"/>
    <x v="18"/>
    <x v="26"/>
    <x v="17"/>
    <x v="0"/>
    <x v="1"/>
    <x v="3"/>
    <x v="5"/>
    <x v="0"/>
    <x v="0"/>
    <x v="30"/>
    <x v="1"/>
    <x v="3"/>
    <x v="5"/>
    <x v="5"/>
    <x v="0"/>
  </r>
  <r>
    <x v="201"/>
    <x v="1"/>
    <x v="2"/>
    <x v="18"/>
    <x v="31"/>
    <x v="28"/>
    <x v="24"/>
    <x v="0"/>
    <x v="4"/>
    <x v="5"/>
    <x v="1"/>
    <x v="0"/>
    <x v="0"/>
    <x v="43"/>
    <x v="4"/>
    <x v="5"/>
    <x v="1"/>
    <x v="0"/>
    <x v="0"/>
  </r>
  <r>
    <x v="202"/>
    <x v="1"/>
    <x v="2"/>
    <x v="19"/>
    <x v="4"/>
    <x v="12"/>
    <x v="18"/>
    <x v="0"/>
    <x v="5"/>
    <x v="4"/>
    <x v="6"/>
    <x v="0"/>
    <x v="0"/>
    <x v="44"/>
    <x v="5"/>
    <x v="4"/>
    <x v="6"/>
    <x v="0"/>
    <x v="0"/>
  </r>
  <r>
    <x v="203"/>
    <x v="1"/>
    <x v="0"/>
    <x v="18"/>
    <x v="9"/>
    <x v="18"/>
    <x v="0"/>
    <x v="0"/>
    <x v="0"/>
    <x v="3"/>
    <x v="1"/>
    <x v="0"/>
    <x v="0"/>
    <x v="31"/>
    <x v="0"/>
    <x v="3"/>
    <x v="1"/>
    <x v="3"/>
    <x v="2"/>
  </r>
  <r>
    <x v="204"/>
    <x v="0"/>
    <x v="1"/>
    <x v="24"/>
    <x v="2"/>
    <x v="2"/>
    <x v="2"/>
    <x v="1"/>
    <x v="2"/>
    <x v="2"/>
    <x v="2"/>
    <x v="1"/>
    <x v="4"/>
    <x v="2"/>
    <x v="2"/>
    <x v="2"/>
    <x v="2"/>
    <x v="2"/>
    <x v="0"/>
  </r>
  <r>
    <x v="205"/>
    <x v="1"/>
    <x v="2"/>
    <x v="22"/>
    <x v="28"/>
    <x v="15"/>
    <x v="18"/>
    <x v="0"/>
    <x v="1"/>
    <x v="5"/>
    <x v="5"/>
    <x v="0"/>
    <x v="0"/>
    <x v="30"/>
    <x v="1"/>
    <x v="5"/>
    <x v="5"/>
    <x v="0"/>
    <x v="0"/>
  </r>
  <r>
    <x v="206"/>
    <x v="1"/>
    <x v="1"/>
    <x v="16"/>
    <x v="2"/>
    <x v="2"/>
    <x v="2"/>
    <x v="1"/>
    <x v="2"/>
    <x v="2"/>
    <x v="2"/>
    <x v="1"/>
    <x v="4"/>
    <x v="2"/>
    <x v="2"/>
    <x v="2"/>
    <x v="2"/>
    <x v="2"/>
    <x v="0"/>
  </r>
  <r>
    <x v="207"/>
    <x v="0"/>
    <x v="0"/>
    <x v="27"/>
    <x v="1"/>
    <x v="11"/>
    <x v="29"/>
    <x v="0"/>
    <x v="3"/>
    <x v="0"/>
    <x v="1"/>
    <x v="0"/>
    <x v="0"/>
    <x v="19"/>
    <x v="3"/>
    <x v="0"/>
    <x v="1"/>
    <x v="11"/>
    <x v="1"/>
  </r>
  <r>
    <x v="208"/>
    <x v="2"/>
    <x v="1"/>
    <x v="11"/>
    <x v="2"/>
    <x v="2"/>
    <x v="2"/>
    <x v="1"/>
    <x v="2"/>
    <x v="2"/>
    <x v="2"/>
    <x v="1"/>
    <x v="5"/>
    <x v="2"/>
    <x v="2"/>
    <x v="2"/>
    <x v="2"/>
    <x v="2"/>
    <x v="0"/>
  </r>
  <r>
    <x v="209"/>
    <x v="0"/>
    <x v="2"/>
    <x v="20"/>
    <x v="35"/>
    <x v="9"/>
    <x v="37"/>
    <x v="0"/>
    <x v="0"/>
    <x v="3"/>
    <x v="0"/>
    <x v="0"/>
    <x v="0"/>
    <x v="0"/>
    <x v="0"/>
    <x v="3"/>
    <x v="0"/>
    <x v="3"/>
    <x v="2"/>
  </r>
  <r>
    <x v="210"/>
    <x v="1"/>
    <x v="1"/>
    <x v="11"/>
    <x v="2"/>
    <x v="2"/>
    <x v="2"/>
    <x v="1"/>
    <x v="2"/>
    <x v="2"/>
    <x v="2"/>
    <x v="1"/>
    <x v="5"/>
    <x v="2"/>
    <x v="2"/>
    <x v="2"/>
    <x v="2"/>
    <x v="2"/>
    <x v="0"/>
  </r>
  <r>
    <x v="211"/>
    <x v="0"/>
    <x v="0"/>
    <x v="29"/>
    <x v="17"/>
    <x v="21"/>
    <x v="14"/>
    <x v="0"/>
    <x v="3"/>
    <x v="5"/>
    <x v="3"/>
    <x v="1"/>
    <x v="1"/>
    <x v="2"/>
    <x v="3"/>
    <x v="5"/>
    <x v="3"/>
    <x v="2"/>
    <x v="0"/>
  </r>
  <r>
    <x v="212"/>
    <x v="2"/>
    <x v="2"/>
    <x v="3"/>
    <x v="11"/>
    <x v="31"/>
    <x v="13"/>
    <x v="0"/>
    <x v="4"/>
    <x v="4"/>
    <x v="5"/>
    <x v="0"/>
    <x v="0"/>
    <x v="12"/>
    <x v="4"/>
    <x v="4"/>
    <x v="5"/>
    <x v="8"/>
    <x v="0"/>
  </r>
  <r>
    <x v="213"/>
    <x v="0"/>
    <x v="2"/>
    <x v="23"/>
    <x v="18"/>
    <x v="26"/>
    <x v="21"/>
    <x v="0"/>
    <x v="0"/>
    <x v="3"/>
    <x v="3"/>
    <x v="0"/>
    <x v="0"/>
    <x v="17"/>
    <x v="0"/>
    <x v="3"/>
    <x v="3"/>
    <x v="0"/>
    <x v="0"/>
  </r>
  <r>
    <x v="214"/>
    <x v="1"/>
    <x v="1"/>
    <x v="4"/>
    <x v="2"/>
    <x v="2"/>
    <x v="2"/>
    <x v="1"/>
    <x v="2"/>
    <x v="2"/>
    <x v="2"/>
    <x v="1"/>
    <x v="2"/>
    <x v="2"/>
    <x v="2"/>
    <x v="2"/>
    <x v="2"/>
    <x v="2"/>
    <x v="0"/>
  </r>
  <r>
    <x v="215"/>
    <x v="2"/>
    <x v="1"/>
    <x v="29"/>
    <x v="2"/>
    <x v="2"/>
    <x v="2"/>
    <x v="1"/>
    <x v="2"/>
    <x v="2"/>
    <x v="2"/>
    <x v="1"/>
    <x v="5"/>
    <x v="2"/>
    <x v="2"/>
    <x v="2"/>
    <x v="2"/>
    <x v="2"/>
    <x v="0"/>
  </r>
  <r>
    <x v="216"/>
    <x v="3"/>
    <x v="2"/>
    <x v="23"/>
    <x v="9"/>
    <x v="18"/>
    <x v="9"/>
    <x v="0"/>
    <x v="5"/>
    <x v="3"/>
    <x v="3"/>
    <x v="0"/>
    <x v="0"/>
    <x v="31"/>
    <x v="5"/>
    <x v="3"/>
    <x v="3"/>
    <x v="6"/>
    <x v="0"/>
  </r>
  <r>
    <x v="217"/>
    <x v="1"/>
    <x v="0"/>
    <x v="18"/>
    <x v="9"/>
    <x v="0"/>
    <x v="17"/>
    <x v="0"/>
    <x v="0"/>
    <x v="1"/>
    <x v="3"/>
    <x v="1"/>
    <x v="5"/>
    <x v="2"/>
    <x v="0"/>
    <x v="1"/>
    <x v="3"/>
    <x v="2"/>
    <x v="0"/>
  </r>
  <r>
    <x v="218"/>
    <x v="2"/>
    <x v="1"/>
    <x v="30"/>
    <x v="2"/>
    <x v="2"/>
    <x v="2"/>
    <x v="1"/>
    <x v="2"/>
    <x v="2"/>
    <x v="2"/>
    <x v="1"/>
    <x v="2"/>
    <x v="2"/>
    <x v="2"/>
    <x v="2"/>
    <x v="2"/>
    <x v="2"/>
    <x v="0"/>
  </r>
  <r>
    <x v="219"/>
    <x v="2"/>
    <x v="1"/>
    <x v="18"/>
    <x v="2"/>
    <x v="2"/>
    <x v="2"/>
    <x v="1"/>
    <x v="2"/>
    <x v="2"/>
    <x v="2"/>
    <x v="1"/>
    <x v="1"/>
    <x v="2"/>
    <x v="2"/>
    <x v="2"/>
    <x v="2"/>
    <x v="2"/>
    <x v="0"/>
  </r>
  <r>
    <x v="220"/>
    <x v="3"/>
    <x v="1"/>
    <x v="8"/>
    <x v="2"/>
    <x v="2"/>
    <x v="2"/>
    <x v="1"/>
    <x v="2"/>
    <x v="2"/>
    <x v="2"/>
    <x v="1"/>
    <x v="5"/>
    <x v="2"/>
    <x v="2"/>
    <x v="2"/>
    <x v="2"/>
    <x v="2"/>
    <x v="0"/>
  </r>
  <r>
    <x v="221"/>
    <x v="0"/>
    <x v="0"/>
    <x v="15"/>
    <x v="23"/>
    <x v="31"/>
    <x v="26"/>
    <x v="0"/>
    <x v="5"/>
    <x v="5"/>
    <x v="4"/>
    <x v="0"/>
    <x v="0"/>
    <x v="6"/>
    <x v="5"/>
    <x v="5"/>
    <x v="4"/>
    <x v="9"/>
    <x v="0"/>
  </r>
  <r>
    <x v="222"/>
    <x v="0"/>
    <x v="0"/>
    <x v="7"/>
    <x v="6"/>
    <x v="36"/>
    <x v="39"/>
    <x v="0"/>
    <x v="3"/>
    <x v="5"/>
    <x v="5"/>
    <x v="0"/>
    <x v="0"/>
    <x v="17"/>
    <x v="3"/>
    <x v="5"/>
    <x v="5"/>
    <x v="10"/>
    <x v="0"/>
  </r>
  <r>
    <x v="223"/>
    <x v="1"/>
    <x v="0"/>
    <x v="8"/>
    <x v="8"/>
    <x v="19"/>
    <x v="10"/>
    <x v="0"/>
    <x v="0"/>
    <x v="1"/>
    <x v="6"/>
    <x v="0"/>
    <x v="0"/>
    <x v="40"/>
    <x v="0"/>
    <x v="1"/>
    <x v="6"/>
    <x v="11"/>
    <x v="1"/>
  </r>
  <r>
    <x v="224"/>
    <x v="3"/>
    <x v="0"/>
    <x v="22"/>
    <x v="28"/>
    <x v="12"/>
    <x v="4"/>
    <x v="0"/>
    <x v="1"/>
    <x v="0"/>
    <x v="5"/>
    <x v="0"/>
    <x v="0"/>
    <x v="31"/>
    <x v="1"/>
    <x v="0"/>
    <x v="5"/>
    <x v="9"/>
    <x v="0"/>
  </r>
  <r>
    <x v="225"/>
    <x v="0"/>
    <x v="0"/>
    <x v="28"/>
    <x v="21"/>
    <x v="23"/>
    <x v="27"/>
    <x v="0"/>
    <x v="1"/>
    <x v="0"/>
    <x v="6"/>
    <x v="1"/>
    <x v="1"/>
    <x v="2"/>
    <x v="1"/>
    <x v="0"/>
    <x v="6"/>
    <x v="2"/>
    <x v="0"/>
  </r>
  <r>
    <x v="226"/>
    <x v="3"/>
    <x v="0"/>
    <x v="0"/>
    <x v="18"/>
    <x v="8"/>
    <x v="0"/>
    <x v="0"/>
    <x v="4"/>
    <x v="1"/>
    <x v="5"/>
    <x v="1"/>
    <x v="3"/>
    <x v="2"/>
    <x v="4"/>
    <x v="1"/>
    <x v="5"/>
    <x v="2"/>
    <x v="0"/>
  </r>
  <r>
    <x v="227"/>
    <x v="0"/>
    <x v="2"/>
    <x v="28"/>
    <x v="21"/>
    <x v="21"/>
    <x v="19"/>
    <x v="0"/>
    <x v="1"/>
    <x v="3"/>
    <x v="5"/>
    <x v="0"/>
    <x v="0"/>
    <x v="34"/>
    <x v="1"/>
    <x v="3"/>
    <x v="5"/>
    <x v="8"/>
    <x v="0"/>
  </r>
  <r>
    <x v="228"/>
    <x v="2"/>
    <x v="1"/>
    <x v="17"/>
    <x v="2"/>
    <x v="2"/>
    <x v="2"/>
    <x v="1"/>
    <x v="2"/>
    <x v="2"/>
    <x v="2"/>
    <x v="1"/>
    <x v="1"/>
    <x v="2"/>
    <x v="2"/>
    <x v="2"/>
    <x v="2"/>
    <x v="2"/>
    <x v="0"/>
  </r>
  <r>
    <x v="229"/>
    <x v="0"/>
    <x v="0"/>
    <x v="26"/>
    <x v="9"/>
    <x v="27"/>
    <x v="5"/>
    <x v="0"/>
    <x v="4"/>
    <x v="4"/>
    <x v="3"/>
    <x v="0"/>
    <x v="0"/>
    <x v="10"/>
    <x v="4"/>
    <x v="4"/>
    <x v="3"/>
    <x v="0"/>
    <x v="0"/>
  </r>
  <r>
    <x v="230"/>
    <x v="3"/>
    <x v="0"/>
    <x v="25"/>
    <x v="26"/>
    <x v="5"/>
    <x v="28"/>
    <x v="0"/>
    <x v="3"/>
    <x v="0"/>
    <x v="6"/>
    <x v="0"/>
    <x v="0"/>
    <x v="45"/>
    <x v="3"/>
    <x v="0"/>
    <x v="6"/>
    <x v="0"/>
    <x v="0"/>
  </r>
  <r>
    <x v="231"/>
    <x v="2"/>
    <x v="0"/>
    <x v="14"/>
    <x v="17"/>
    <x v="14"/>
    <x v="19"/>
    <x v="0"/>
    <x v="5"/>
    <x v="4"/>
    <x v="1"/>
    <x v="0"/>
    <x v="0"/>
    <x v="11"/>
    <x v="5"/>
    <x v="4"/>
    <x v="1"/>
    <x v="1"/>
    <x v="1"/>
  </r>
  <r>
    <x v="232"/>
    <x v="2"/>
    <x v="0"/>
    <x v="24"/>
    <x v="27"/>
    <x v="30"/>
    <x v="6"/>
    <x v="0"/>
    <x v="3"/>
    <x v="5"/>
    <x v="6"/>
    <x v="1"/>
    <x v="4"/>
    <x v="2"/>
    <x v="3"/>
    <x v="5"/>
    <x v="6"/>
    <x v="2"/>
    <x v="0"/>
  </r>
  <r>
    <x v="233"/>
    <x v="2"/>
    <x v="2"/>
    <x v="14"/>
    <x v="17"/>
    <x v="21"/>
    <x v="16"/>
    <x v="0"/>
    <x v="5"/>
    <x v="5"/>
    <x v="6"/>
    <x v="0"/>
    <x v="0"/>
    <x v="29"/>
    <x v="5"/>
    <x v="5"/>
    <x v="6"/>
    <x v="3"/>
    <x v="2"/>
  </r>
  <r>
    <x v="234"/>
    <x v="3"/>
    <x v="2"/>
    <x v="21"/>
    <x v="18"/>
    <x v="18"/>
    <x v="26"/>
    <x v="0"/>
    <x v="5"/>
    <x v="0"/>
    <x v="5"/>
    <x v="0"/>
    <x v="0"/>
    <x v="31"/>
    <x v="5"/>
    <x v="0"/>
    <x v="5"/>
    <x v="8"/>
    <x v="0"/>
  </r>
  <r>
    <x v="235"/>
    <x v="1"/>
    <x v="2"/>
    <x v="25"/>
    <x v="6"/>
    <x v="5"/>
    <x v="28"/>
    <x v="0"/>
    <x v="4"/>
    <x v="3"/>
    <x v="6"/>
    <x v="0"/>
    <x v="0"/>
    <x v="11"/>
    <x v="4"/>
    <x v="3"/>
    <x v="6"/>
    <x v="11"/>
    <x v="1"/>
  </r>
  <r>
    <x v="236"/>
    <x v="1"/>
    <x v="2"/>
    <x v="14"/>
    <x v="27"/>
    <x v="30"/>
    <x v="16"/>
    <x v="0"/>
    <x v="1"/>
    <x v="5"/>
    <x v="5"/>
    <x v="0"/>
    <x v="0"/>
    <x v="20"/>
    <x v="1"/>
    <x v="5"/>
    <x v="5"/>
    <x v="11"/>
    <x v="1"/>
  </r>
  <r>
    <x v="237"/>
    <x v="1"/>
    <x v="0"/>
    <x v="2"/>
    <x v="26"/>
    <x v="32"/>
    <x v="28"/>
    <x v="0"/>
    <x v="1"/>
    <x v="4"/>
    <x v="1"/>
    <x v="0"/>
    <x v="0"/>
    <x v="18"/>
    <x v="1"/>
    <x v="4"/>
    <x v="1"/>
    <x v="6"/>
    <x v="0"/>
  </r>
  <r>
    <x v="238"/>
    <x v="3"/>
    <x v="0"/>
    <x v="4"/>
    <x v="24"/>
    <x v="1"/>
    <x v="12"/>
    <x v="0"/>
    <x v="4"/>
    <x v="3"/>
    <x v="4"/>
    <x v="0"/>
    <x v="0"/>
    <x v="18"/>
    <x v="4"/>
    <x v="3"/>
    <x v="4"/>
    <x v="10"/>
    <x v="0"/>
  </r>
  <r>
    <x v="239"/>
    <x v="2"/>
    <x v="2"/>
    <x v="11"/>
    <x v="7"/>
    <x v="3"/>
    <x v="3"/>
    <x v="0"/>
    <x v="4"/>
    <x v="0"/>
    <x v="3"/>
    <x v="1"/>
    <x v="4"/>
    <x v="2"/>
    <x v="4"/>
    <x v="0"/>
    <x v="3"/>
    <x v="2"/>
    <x v="0"/>
  </r>
  <r>
    <x v="240"/>
    <x v="1"/>
    <x v="0"/>
    <x v="12"/>
    <x v="9"/>
    <x v="26"/>
    <x v="24"/>
    <x v="0"/>
    <x v="3"/>
    <x v="5"/>
    <x v="0"/>
    <x v="0"/>
    <x v="0"/>
    <x v="19"/>
    <x v="3"/>
    <x v="5"/>
    <x v="0"/>
    <x v="3"/>
    <x v="2"/>
  </r>
  <r>
    <x v="241"/>
    <x v="3"/>
    <x v="2"/>
    <x v="18"/>
    <x v="31"/>
    <x v="26"/>
    <x v="5"/>
    <x v="0"/>
    <x v="4"/>
    <x v="0"/>
    <x v="4"/>
    <x v="0"/>
    <x v="0"/>
    <x v="26"/>
    <x v="4"/>
    <x v="0"/>
    <x v="4"/>
    <x v="10"/>
    <x v="0"/>
  </r>
  <r>
    <x v="242"/>
    <x v="1"/>
    <x v="1"/>
    <x v="6"/>
    <x v="2"/>
    <x v="2"/>
    <x v="2"/>
    <x v="1"/>
    <x v="2"/>
    <x v="2"/>
    <x v="2"/>
    <x v="1"/>
    <x v="1"/>
    <x v="2"/>
    <x v="2"/>
    <x v="2"/>
    <x v="2"/>
    <x v="2"/>
    <x v="0"/>
  </r>
  <r>
    <x v="243"/>
    <x v="0"/>
    <x v="1"/>
    <x v="29"/>
    <x v="2"/>
    <x v="2"/>
    <x v="2"/>
    <x v="1"/>
    <x v="2"/>
    <x v="2"/>
    <x v="2"/>
    <x v="1"/>
    <x v="4"/>
    <x v="2"/>
    <x v="2"/>
    <x v="2"/>
    <x v="2"/>
    <x v="2"/>
    <x v="0"/>
  </r>
  <r>
    <x v="244"/>
    <x v="1"/>
    <x v="2"/>
    <x v="30"/>
    <x v="6"/>
    <x v="5"/>
    <x v="28"/>
    <x v="0"/>
    <x v="1"/>
    <x v="3"/>
    <x v="6"/>
    <x v="0"/>
    <x v="0"/>
    <x v="46"/>
    <x v="1"/>
    <x v="3"/>
    <x v="6"/>
    <x v="5"/>
    <x v="0"/>
  </r>
  <r>
    <x v="245"/>
    <x v="1"/>
    <x v="0"/>
    <x v="24"/>
    <x v="21"/>
    <x v="21"/>
    <x v="22"/>
    <x v="0"/>
    <x v="4"/>
    <x v="3"/>
    <x v="1"/>
    <x v="1"/>
    <x v="3"/>
    <x v="2"/>
    <x v="4"/>
    <x v="3"/>
    <x v="1"/>
    <x v="2"/>
    <x v="0"/>
  </r>
  <r>
    <x v="246"/>
    <x v="2"/>
    <x v="2"/>
    <x v="29"/>
    <x v="20"/>
    <x v="17"/>
    <x v="27"/>
    <x v="0"/>
    <x v="4"/>
    <x v="3"/>
    <x v="3"/>
    <x v="0"/>
    <x v="0"/>
    <x v="15"/>
    <x v="4"/>
    <x v="3"/>
    <x v="3"/>
    <x v="5"/>
    <x v="0"/>
  </r>
  <r>
    <x v="247"/>
    <x v="3"/>
    <x v="0"/>
    <x v="12"/>
    <x v="28"/>
    <x v="10"/>
    <x v="23"/>
    <x v="0"/>
    <x v="5"/>
    <x v="1"/>
    <x v="1"/>
    <x v="0"/>
    <x v="0"/>
    <x v="47"/>
    <x v="5"/>
    <x v="1"/>
    <x v="1"/>
    <x v="8"/>
    <x v="0"/>
  </r>
  <r>
    <x v="248"/>
    <x v="2"/>
    <x v="0"/>
    <x v="29"/>
    <x v="20"/>
    <x v="25"/>
    <x v="22"/>
    <x v="0"/>
    <x v="4"/>
    <x v="1"/>
    <x v="3"/>
    <x v="0"/>
    <x v="0"/>
    <x v="32"/>
    <x v="4"/>
    <x v="1"/>
    <x v="3"/>
    <x v="11"/>
    <x v="1"/>
  </r>
  <r>
    <x v="249"/>
    <x v="2"/>
    <x v="2"/>
    <x v="12"/>
    <x v="9"/>
    <x v="27"/>
    <x v="5"/>
    <x v="0"/>
    <x v="3"/>
    <x v="4"/>
    <x v="3"/>
    <x v="0"/>
    <x v="0"/>
    <x v="17"/>
    <x v="3"/>
    <x v="4"/>
    <x v="3"/>
    <x v="9"/>
    <x v="0"/>
  </r>
  <r>
    <x v="250"/>
    <x v="2"/>
    <x v="0"/>
    <x v="3"/>
    <x v="11"/>
    <x v="10"/>
    <x v="18"/>
    <x v="0"/>
    <x v="4"/>
    <x v="3"/>
    <x v="3"/>
    <x v="0"/>
    <x v="0"/>
    <x v="6"/>
    <x v="4"/>
    <x v="3"/>
    <x v="3"/>
    <x v="0"/>
    <x v="0"/>
  </r>
  <r>
    <x v="251"/>
    <x v="2"/>
    <x v="2"/>
    <x v="11"/>
    <x v="22"/>
    <x v="24"/>
    <x v="21"/>
    <x v="0"/>
    <x v="0"/>
    <x v="3"/>
    <x v="1"/>
    <x v="0"/>
    <x v="0"/>
    <x v="11"/>
    <x v="0"/>
    <x v="3"/>
    <x v="1"/>
    <x v="5"/>
    <x v="0"/>
  </r>
  <r>
    <x v="252"/>
    <x v="2"/>
    <x v="2"/>
    <x v="25"/>
    <x v="15"/>
    <x v="37"/>
    <x v="39"/>
    <x v="0"/>
    <x v="0"/>
    <x v="5"/>
    <x v="6"/>
    <x v="0"/>
    <x v="0"/>
    <x v="33"/>
    <x v="0"/>
    <x v="5"/>
    <x v="6"/>
    <x v="4"/>
    <x v="2"/>
  </r>
  <r>
    <x v="253"/>
    <x v="1"/>
    <x v="0"/>
    <x v="26"/>
    <x v="12"/>
    <x v="8"/>
    <x v="24"/>
    <x v="0"/>
    <x v="5"/>
    <x v="4"/>
    <x v="3"/>
    <x v="0"/>
    <x v="0"/>
    <x v="1"/>
    <x v="5"/>
    <x v="4"/>
    <x v="3"/>
    <x v="8"/>
    <x v="0"/>
  </r>
  <r>
    <x v="254"/>
    <x v="2"/>
    <x v="0"/>
    <x v="24"/>
    <x v="19"/>
    <x v="23"/>
    <x v="12"/>
    <x v="0"/>
    <x v="5"/>
    <x v="4"/>
    <x v="1"/>
    <x v="0"/>
    <x v="0"/>
    <x v="20"/>
    <x v="5"/>
    <x v="4"/>
    <x v="1"/>
    <x v="7"/>
    <x v="0"/>
  </r>
  <r>
    <x v="255"/>
    <x v="2"/>
    <x v="0"/>
    <x v="20"/>
    <x v="35"/>
    <x v="38"/>
    <x v="40"/>
    <x v="0"/>
    <x v="0"/>
    <x v="0"/>
    <x v="0"/>
    <x v="1"/>
    <x v="2"/>
    <x v="2"/>
    <x v="0"/>
    <x v="0"/>
    <x v="0"/>
    <x v="2"/>
    <x v="0"/>
  </r>
  <r>
    <x v="256"/>
    <x v="3"/>
    <x v="0"/>
    <x v="17"/>
    <x v="1"/>
    <x v="25"/>
    <x v="32"/>
    <x v="0"/>
    <x v="5"/>
    <x v="3"/>
    <x v="0"/>
    <x v="0"/>
    <x v="0"/>
    <x v="42"/>
    <x v="5"/>
    <x v="3"/>
    <x v="0"/>
    <x v="9"/>
    <x v="0"/>
  </r>
  <r>
    <x v="257"/>
    <x v="0"/>
    <x v="1"/>
    <x v="19"/>
    <x v="2"/>
    <x v="2"/>
    <x v="2"/>
    <x v="1"/>
    <x v="2"/>
    <x v="2"/>
    <x v="2"/>
    <x v="1"/>
    <x v="4"/>
    <x v="2"/>
    <x v="2"/>
    <x v="2"/>
    <x v="2"/>
    <x v="2"/>
    <x v="0"/>
  </r>
  <r>
    <x v="258"/>
    <x v="1"/>
    <x v="2"/>
    <x v="19"/>
    <x v="4"/>
    <x v="10"/>
    <x v="18"/>
    <x v="0"/>
    <x v="5"/>
    <x v="5"/>
    <x v="3"/>
    <x v="1"/>
    <x v="4"/>
    <x v="2"/>
    <x v="5"/>
    <x v="5"/>
    <x v="3"/>
    <x v="2"/>
    <x v="0"/>
  </r>
  <r>
    <x v="259"/>
    <x v="1"/>
    <x v="0"/>
    <x v="0"/>
    <x v="9"/>
    <x v="8"/>
    <x v="0"/>
    <x v="0"/>
    <x v="1"/>
    <x v="0"/>
    <x v="5"/>
    <x v="0"/>
    <x v="0"/>
    <x v="31"/>
    <x v="1"/>
    <x v="0"/>
    <x v="5"/>
    <x v="8"/>
    <x v="0"/>
  </r>
  <r>
    <x v="260"/>
    <x v="1"/>
    <x v="0"/>
    <x v="23"/>
    <x v="31"/>
    <x v="18"/>
    <x v="0"/>
    <x v="0"/>
    <x v="1"/>
    <x v="1"/>
    <x v="1"/>
    <x v="0"/>
    <x v="0"/>
    <x v="20"/>
    <x v="1"/>
    <x v="1"/>
    <x v="1"/>
    <x v="0"/>
    <x v="0"/>
  </r>
  <r>
    <x v="261"/>
    <x v="2"/>
    <x v="0"/>
    <x v="26"/>
    <x v="9"/>
    <x v="18"/>
    <x v="24"/>
    <x v="0"/>
    <x v="4"/>
    <x v="3"/>
    <x v="6"/>
    <x v="0"/>
    <x v="0"/>
    <x v="6"/>
    <x v="4"/>
    <x v="3"/>
    <x v="6"/>
    <x v="3"/>
    <x v="2"/>
  </r>
  <r>
    <x v="262"/>
    <x v="2"/>
    <x v="1"/>
    <x v="19"/>
    <x v="2"/>
    <x v="2"/>
    <x v="2"/>
    <x v="1"/>
    <x v="2"/>
    <x v="2"/>
    <x v="2"/>
    <x v="1"/>
    <x v="1"/>
    <x v="2"/>
    <x v="2"/>
    <x v="2"/>
    <x v="2"/>
    <x v="2"/>
    <x v="0"/>
  </r>
  <r>
    <x v="263"/>
    <x v="2"/>
    <x v="0"/>
    <x v="20"/>
    <x v="35"/>
    <x v="4"/>
    <x v="37"/>
    <x v="0"/>
    <x v="0"/>
    <x v="4"/>
    <x v="1"/>
    <x v="0"/>
    <x v="0"/>
    <x v="40"/>
    <x v="0"/>
    <x v="4"/>
    <x v="1"/>
    <x v="7"/>
    <x v="0"/>
  </r>
  <r>
    <x v="264"/>
    <x v="3"/>
    <x v="0"/>
    <x v="28"/>
    <x v="30"/>
    <x v="30"/>
    <x v="14"/>
    <x v="0"/>
    <x v="3"/>
    <x v="3"/>
    <x v="0"/>
    <x v="0"/>
    <x v="0"/>
    <x v="26"/>
    <x v="3"/>
    <x v="3"/>
    <x v="0"/>
    <x v="11"/>
    <x v="1"/>
  </r>
  <r>
    <x v="265"/>
    <x v="0"/>
    <x v="0"/>
    <x v="4"/>
    <x v="3"/>
    <x v="3"/>
    <x v="1"/>
    <x v="0"/>
    <x v="0"/>
    <x v="3"/>
    <x v="0"/>
    <x v="0"/>
    <x v="0"/>
    <x v="5"/>
    <x v="0"/>
    <x v="3"/>
    <x v="0"/>
    <x v="7"/>
    <x v="0"/>
  </r>
  <r>
    <x v="266"/>
    <x v="2"/>
    <x v="1"/>
    <x v="7"/>
    <x v="2"/>
    <x v="2"/>
    <x v="2"/>
    <x v="1"/>
    <x v="2"/>
    <x v="2"/>
    <x v="2"/>
    <x v="1"/>
    <x v="3"/>
    <x v="2"/>
    <x v="2"/>
    <x v="2"/>
    <x v="2"/>
    <x v="2"/>
    <x v="0"/>
  </r>
  <r>
    <x v="267"/>
    <x v="0"/>
    <x v="1"/>
    <x v="21"/>
    <x v="2"/>
    <x v="2"/>
    <x v="2"/>
    <x v="1"/>
    <x v="2"/>
    <x v="2"/>
    <x v="2"/>
    <x v="1"/>
    <x v="2"/>
    <x v="2"/>
    <x v="2"/>
    <x v="2"/>
    <x v="2"/>
    <x v="2"/>
    <x v="0"/>
  </r>
  <r>
    <x v="268"/>
    <x v="3"/>
    <x v="0"/>
    <x v="24"/>
    <x v="20"/>
    <x v="25"/>
    <x v="32"/>
    <x v="0"/>
    <x v="0"/>
    <x v="1"/>
    <x v="0"/>
    <x v="0"/>
    <x v="0"/>
    <x v="3"/>
    <x v="0"/>
    <x v="1"/>
    <x v="0"/>
    <x v="5"/>
    <x v="0"/>
  </r>
  <r>
    <x v="269"/>
    <x v="1"/>
    <x v="0"/>
    <x v="0"/>
    <x v="9"/>
    <x v="26"/>
    <x v="5"/>
    <x v="0"/>
    <x v="1"/>
    <x v="5"/>
    <x v="4"/>
    <x v="0"/>
    <x v="0"/>
    <x v="12"/>
    <x v="1"/>
    <x v="5"/>
    <x v="4"/>
    <x v="10"/>
    <x v="0"/>
  </r>
  <r>
    <x v="270"/>
    <x v="2"/>
    <x v="2"/>
    <x v="13"/>
    <x v="30"/>
    <x v="13"/>
    <x v="16"/>
    <x v="0"/>
    <x v="1"/>
    <x v="5"/>
    <x v="1"/>
    <x v="0"/>
    <x v="0"/>
    <x v="26"/>
    <x v="1"/>
    <x v="5"/>
    <x v="1"/>
    <x v="7"/>
    <x v="0"/>
  </r>
  <r>
    <x v="271"/>
    <x v="0"/>
    <x v="2"/>
    <x v="20"/>
    <x v="8"/>
    <x v="9"/>
    <x v="11"/>
    <x v="0"/>
    <x v="5"/>
    <x v="5"/>
    <x v="4"/>
    <x v="0"/>
    <x v="0"/>
    <x v="8"/>
    <x v="5"/>
    <x v="5"/>
    <x v="4"/>
    <x v="5"/>
    <x v="0"/>
  </r>
  <r>
    <x v="272"/>
    <x v="0"/>
    <x v="0"/>
    <x v="17"/>
    <x v="21"/>
    <x v="23"/>
    <x v="19"/>
    <x v="0"/>
    <x v="3"/>
    <x v="0"/>
    <x v="0"/>
    <x v="0"/>
    <x v="0"/>
    <x v="3"/>
    <x v="3"/>
    <x v="0"/>
    <x v="0"/>
    <x v="3"/>
    <x v="2"/>
  </r>
  <r>
    <x v="273"/>
    <x v="2"/>
    <x v="2"/>
    <x v="5"/>
    <x v="11"/>
    <x v="12"/>
    <x v="4"/>
    <x v="0"/>
    <x v="1"/>
    <x v="5"/>
    <x v="5"/>
    <x v="0"/>
    <x v="0"/>
    <x v="10"/>
    <x v="1"/>
    <x v="5"/>
    <x v="5"/>
    <x v="0"/>
    <x v="0"/>
  </r>
  <r>
    <x v="274"/>
    <x v="1"/>
    <x v="0"/>
    <x v="13"/>
    <x v="21"/>
    <x v="23"/>
    <x v="12"/>
    <x v="0"/>
    <x v="5"/>
    <x v="0"/>
    <x v="1"/>
    <x v="0"/>
    <x v="0"/>
    <x v="32"/>
    <x v="5"/>
    <x v="0"/>
    <x v="1"/>
    <x v="9"/>
    <x v="0"/>
  </r>
  <r>
    <x v="275"/>
    <x v="1"/>
    <x v="2"/>
    <x v="25"/>
    <x v="26"/>
    <x v="37"/>
    <x v="39"/>
    <x v="0"/>
    <x v="3"/>
    <x v="1"/>
    <x v="6"/>
    <x v="0"/>
    <x v="0"/>
    <x v="18"/>
    <x v="3"/>
    <x v="1"/>
    <x v="6"/>
    <x v="4"/>
    <x v="2"/>
  </r>
  <r>
    <x v="276"/>
    <x v="1"/>
    <x v="0"/>
    <x v="30"/>
    <x v="6"/>
    <x v="5"/>
    <x v="6"/>
    <x v="0"/>
    <x v="1"/>
    <x v="3"/>
    <x v="1"/>
    <x v="0"/>
    <x v="0"/>
    <x v="32"/>
    <x v="1"/>
    <x v="3"/>
    <x v="1"/>
    <x v="1"/>
    <x v="1"/>
  </r>
  <r>
    <x v="277"/>
    <x v="3"/>
    <x v="0"/>
    <x v="14"/>
    <x v="21"/>
    <x v="23"/>
    <x v="27"/>
    <x v="0"/>
    <x v="0"/>
    <x v="0"/>
    <x v="6"/>
    <x v="0"/>
    <x v="0"/>
    <x v="4"/>
    <x v="0"/>
    <x v="0"/>
    <x v="6"/>
    <x v="10"/>
    <x v="0"/>
  </r>
  <r>
    <x v="278"/>
    <x v="0"/>
    <x v="1"/>
    <x v="19"/>
    <x v="2"/>
    <x v="2"/>
    <x v="2"/>
    <x v="1"/>
    <x v="2"/>
    <x v="2"/>
    <x v="2"/>
    <x v="1"/>
    <x v="1"/>
    <x v="2"/>
    <x v="2"/>
    <x v="2"/>
    <x v="2"/>
    <x v="2"/>
    <x v="0"/>
  </r>
  <r>
    <x v="279"/>
    <x v="0"/>
    <x v="2"/>
    <x v="29"/>
    <x v="1"/>
    <x v="1"/>
    <x v="3"/>
    <x v="0"/>
    <x v="0"/>
    <x v="1"/>
    <x v="0"/>
    <x v="1"/>
    <x v="1"/>
    <x v="2"/>
    <x v="0"/>
    <x v="1"/>
    <x v="0"/>
    <x v="2"/>
    <x v="0"/>
  </r>
  <r>
    <x v="280"/>
    <x v="0"/>
    <x v="0"/>
    <x v="18"/>
    <x v="16"/>
    <x v="27"/>
    <x v="9"/>
    <x v="0"/>
    <x v="3"/>
    <x v="0"/>
    <x v="0"/>
    <x v="0"/>
    <x v="0"/>
    <x v="42"/>
    <x v="3"/>
    <x v="0"/>
    <x v="0"/>
    <x v="1"/>
    <x v="1"/>
  </r>
  <r>
    <x v="281"/>
    <x v="3"/>
    <x v="1"/>
    <x v="15"/>
    <x v="2"/>
    <x v="2"/>
    <x v="2"/>
    <x v="1"/>
    <x v="2"/>
    <x v="2"/>
    <x v="2"/>
    <x v="1"/>
    <x v="3"/>
    <x v="2"/>
    <x v="2"/>
    <x v="2"/>
    <x v="2"/>
    <x v="2"/>
    <x v="0"/>
  </r>
  <r>
    <x v="282"/>
    <x v="0"/>
    <x v="2"/>
    <x v="5"/>
    <x v="28"/>
    <x v="10"/>
    <x v="13"/>
    <x v="0"/>
    <x v="3"/>
    <x v="1"/>
    <x v="6"/>
    <x v="1"/>
    <x v="2"/>
    <x v="2"/>
    <x v="3"/>
    <x v="1"/>
    <x v="6"/>
    <x v="2"/>
    <x v="0"/>
  </r>
  <r>
    <x v="283"/>
    <x v="3"/>
    <x v="1"/>
    <x v="23"/>
    <x v="2"/>
    <x v="2"/>
    <x v="2"/>
    <x v="1"/>
    <x v="2"/>
    <x v="2"/>
    <x v="2"/>
    <x v="1"/>
    <x v="3"/>
    <x v="2"/>
    <x v="2"/>
    <x v="2"/>
    <x v="2"/>
    <x v="2"/>
    <x v="0"/>
  </r>
  <r>
    <x v="284"/>
    <x v="1"/>
    <x v="0"/>
    <x v="20"/>
    <x v="34"/>
    <x v="4"/>
    <x v="8"/>
    <x v="0"/>
    <x v="1"/>
    <x v="5"/>
    <x v="5"/>
    <x v="0"/>
    <x v="0"/>
    <x v="0"/>
    <x v="1"/>
    <x v="5"/>
    <x v="5"/>
    <x v="8"/>
    <x v="0"/>
  </r>
  <r>
    <x v="285"/>
    <x v="2"/>
    <x v="0"/>
    <x v="29"/>
    <x v="19"/>
    <x v="17"/>
    <x v="16"/>
    <x v="0"/>
    <x v="1"/>
    <x v="5"/>
    <x v="4"/>
    <x v="0"/>
    <x v="0"/>
    <x v="25"/>
    <x v="1"/>
    <x v="5"/>
    <x v="4"/>
    <x v="3"/>
    <x v="2"/>
  </r>
  <r>
    <x v="286"/>
    <x v="0"/>
    <x v="1"/>
    <x v="11"/>
    <x v="2"/>
    <x v="2"/>
    <x v="2"/>
    <x v="1"/>
    <x v="2"/>
    <x v="2"/>
    <x v="2"/>
    <x v="1"/>
    <x v="2"/>
    <x v="2"/>
    <x v="2"/>
    <x v="2"/>
    <x v="2"/>
    <x v="2"/>
    <x v="0"/>
  </r>
  <r>
    <x v="287"/>
    <x v="0"/>
    <x v="2"/>
    <x v="7"/>
    <x v="6"/>
    <x v="13"/>
    <x v="16"/>
    <x v="0"/>
    <x v="3"/>
    <x v="1"/>
    <x v="1"/>
    <x v="0"/>
    <x v="0"/>
    <x v="46"/>
    <x v="3"/>
    <x v="1"/>
    <x v="1"/>
    <x v="0"/>
    <x v="0"/>
  </r>
  <r>
    <x v="288"/>
    <x v="1"/>
    <x v="0"/>
    <x v="11"/>
    <x v="24"/>
    <x v="25"/>
    <x v="19"/>
    <x v="0"/>
    <x v="3"/>
    <x v="4"/>
    <x v="4"/>
    <x v="1"/>
    <x v="3"/>
    <x v="2"/>
    <x v="3"/>
    <x v="4"/>
    <x v="4"/>
    <x v="2"/>
    <x v="0"/>
  </r>
  <r>
    <x v="289"/>
    <x v="2"/>
    <x v="1"/>
    <x v="12"/>
    <x v="2"/>
    <x v="2"/>
    <x v="2"/>
    <x v="1"/>
    <x v="2"/>
    <x v="2"/>
    <x v="2"/>
    <x v="1"/>
    <x v="1"/>
    <x v="2"/>
    <x v="2"/>
    <x v="2"/>
    <x v="2"/>
    <x v="2"/>
    <x v="0"/>
  </r>
  <r>
    <x v="290"/>
    <x v="3"/>
    <x v="2"/>
    <x v="29"/>
    <x v="14"/>
    <x v="6"/>
    <x v="33"/>
    <x v="0"/>
    <x v="5"/>
    <x v="1"/>
    <x v="1"/>
    <x v="0"/>
    <x v="0"/>
    <x v="5"/>
    <x v="5"/>
    <x v="1"/>
    <x v="1"/>
    <x v="8"/>
    <x v="0"/>
  </r>
  <r>
    <x v="291"/>
    <x v="2"/>
    <x v="0"/>
    <x v="12"/>
    <x v="28"/>
    <x v="12"/>
    <x v="13"/>
    <x v="0"/>
    <x v="5"/>
    <x v="0"/>
    <x v="0"/>
    <x v="0"/>
    <x v="0"/>
    <x v="12"/>
    <x v="5"/>
    <x v="0"/>
    <x v="0"/>
    <x v="10"/>
    <x v="0"/>
  </r>
  <r>
    <x v="292"/>
    <x v="1"/>
    <x v="1"/>
    <x v="27"/>
    <x v="2"/>
    <x v="2"/>
    <x v="2"/>
    <x v="1"/>
    <x v="2"/>
    <x v="2"/>
    <x v="2"/>
    <x v="1"/>
    <x v="1"/>
    <x v="2"/>
    <x v="2"/>
    <x v="2"/>
    <x v="2"/>
    <x v="2"/>
    <x v="0"/>
  </r>
  <r>
    <x v="293"/>
    <x v="1"/>
    <x v="2"/>
    <x v="8"/>
    <x v="32"/>
    <x v="39"/>
    <x v="41"/>
    <x v="0"/>
    <x v="5"/>
    <x v="1"/>
    <x v="1"/>
    <x v="0"/>
    <x v="0"/>
    <x v="21"/>
    <x v="5"/>
    <x v="1"/>
    <x v="1"/>
    <x v="5"/>
    <x v="0"/>
  </r>
  <r>
    <x v="294"/>
    <x v="2"/>
    <x v="1"/>
    <x v="17"/>
    <x v="2"/>
    <x v="2"/>
    <x v="2"/>
    <x v="1"/>
    <x v="2"/>
    <x v="2"/>
    <x v="2"/>
    <x v="1"/>
    <x v="5"/>
    <x v="2"/>
    <x v="2"/>
    <x v="2"/>
    <x v="2"/>
    <x v="2"/>
    <x v="0"/>
  </r>
  <r>
    <x v="295"/>
    <x v="3"/>
    <x v="0"/>
    <x v="16"/>
    <x v="16"/>
    <x v="28"/>
    <x v="24"/>
    <x v="0"/>
    <x v="0"/>
    <x v="3"/>
    <x v="1"/>
    <x v="1"/>
    <x v="4"/>
    <x v="2"/>
    <x v="0"/>
    <x v="3"/>
    <x v="1"/>
    <x v="2"/>
    <x v="0"/>
  </r>
  <r>
    <x v="296"/>
    <x v="3"/>
    <x v="0"/>
    <x v="21"/>
    <x v="31"/>
    <x v="16"/>
    <x v="9"/>
    <x v="0"/>
    <x v="0"/>
    <x v="4"/>
    <x v="1"/>
    <x v="0"/>
    <x v="0"/>
    <x v="24"/>
    <x v="0"/>
    <x v="4"/>
    <x v="1"/>
    <x v="5"/>
    <x v="0"/>
  </r>
  <r>
    <x v="297"/>
    <x v="0"/>
    <x v="0"/>
    <x v="6"/>
    <x v="16"/>
    <x v="26"/>
    <x v="9"/>
    <x v="0"/>
    <x v="5"/>
    <x v="1"/>
    <x v="6"/>
    <x v="0"/>
    <x v="0"/>
    <x v="23"/>
    <x v="5"/>
    <x v="1"/>
    <x v="6"/>
    <x v="4"/>
    <x v="2"/>
  </r>
  <r>
    <x v="298"/>
    <x v="3"/>
    <x v="2"/>
    <x v="11"/>
    <x v="5"/>
    <x v="3"/>
    <x v="15"/>
    <x v="0"/>
    <x v="5"/>
    <x v="4"/>
    <x v="4"/>
    <x v="0"/>
    <x v="0"/>
    <x v="20"/>
    <x v="5"/>
    <x v="4"/>
    <x v="4"/>
    <x v="4"/>
    <x v="2"/>
  </r>
  <r>
    <x v="299"/>
    <x v="2"/>
    <x v="1"/>
    <x v="25"/>
    <x v="2"/>
    <x v="2"/>
    <x v="2"/>
    <x v="1"/>
    <x v="2"/>
    <x v="2"/>
    <x v="2"/>
    <x v="1"/>
    <x v="3"/>
    <x v="2"/>
    <x v="2"/>
    <x v="2"/>
    <x v="2"/>
    <x v="2"/>
    <x v="0"/>
  </r>
  <r>
    <x v="300"/>
    <x v="1"/>
    <x v="1"/>
    <x v="18"/>
    <x v="2"/>
    <x v="2"/>
    <x v="2"/>
    <x v="1"/>
    <x v="2"/>
    <x v="2"/>
    <x v="2"/>
    <x v="1"/>
    <x v="5"/>
    <x v="2"/>
    <x v="2"/>
    <x v="2"/>
    <x v="2"/>
    <x v="2"/>
    <x v="0"/>
  </r>
  <r>
    <x v="301"/>
    <x v="0"/>
    <x v="0"/>
    <x v="30"/>
    <x v="33"/>
    <x v="34"/>
    <x v="31"/>
    <x v="0"/>
    <x v="3"/>
    <x v="4"/>
    <x v="5"/>
    <x v="0"/>
    <x v="0"/>
    <x v="26"/>
    <x v="3"/>
    <x v="4"/>
    <x v="5"/>
    <x v="1"/>
    <x v="1"/>
  </r>
  <r>
    <x v="302"/>
    <x v="0"/>
    <x v="0"/>
    <x v="10"/>
    <x v="34"/>
    <x v="38"/>
    <x v="40"/>
    <x v="0"/>
    <x v="0"/>
    <x v="1"/>
    <x v="0"/>
    <x v="0"/>
    <x v="0"/>
    <x v="21"/>
    <x v="0"/>
    <x v="1"/>
    <x v="0"/>
    <x v="7"/>
    <x v="0"/>
  </r>
  <r>
    <x v="303"/>
    <x v="1"/>
    <x v="0"/>
    <x v="4"/>
    <x v="22"/>
    <x v="28"/>
    <x v="33"/>
    <x v="0"/>
    <x v="5"/>
    <x v="1"/>
    <x v="3"/>
    <x v="0"/>
    <x v="0"/>
    <x v="8"/>
    <x v="5"/>
    <x v="1"/>
    <x v="3"/>
    <x v="5"/>
    <x v="0"/>
  </r>
  <r>
    <x v="304"/>
    <x v="3"/>
    <x v="0"/>
    <x v="15"/>
    <x v="25"/>
    <x v="8"/>
    <x v="26"/>
    <x v="0"/>
    <x v="4"/>
    <x v="5"/>
    <x v="0"/>
    <x v="0"/>
    <x v="0"/>
    <x v="19"/>
    <x v="4"/>
    <x v="5"/>
    <x v="0"/>
    <x v="10"/>
    <x v="0"/>
  </r>
  <r>
    <x v="305"/>
    <x v="1"/>
    <x v="0"/>
    <x v="1"/>
    <x v="1"/>
    <x v="1"/>
    <x v="32"/>
    <x v="0"/>
    <x v="1"/>
    <x v="1"/>
    <x v="3"/>
    <x v="0"/>
    <x v="0"/>
    <x v="19"/>
    <x v="1"/>
    <x v="1"/>
    <x v="3"/>
    <x v="10"/>
    <x v="0"/>
  </r>
  <r>
    <x v="306"/>
    <x v="3"/>
    <x v="0"/>
    <x v="18"/>
    <x v="0"/>
    <x v="15"/>
    <x v="35"/>
    <x v="0"/>
    <x v="5"/>
    <x v="1"/>
    <x v="0"/>
    <x v="0"/>
    <x v="0"/>
    <x v="6"/>
    <x v="5"/>
    <x v="1"/>
    <x v="0"/>
    <x v="1"/>
    <x v="1"/>
  </r>
  <r>
    <x v="307"/>
    <x v="1"/>
    <x v="0"/>
    <x v="17"/>
    <x v="19"/>
    <x v="17"/>
    <x v="19"/>
    <x v="0"/>
    <x v="0"/>
    <x v="5"/>
    <x v="6"/>
    <x v="0"/>
    <x v="0"/>
    <x v="11"/>
    <x v="0"/>
    <x v="5"/>
    <x v="6"/>
    <x v="3"/>
    <x v="2"/>
  </r>
  <r>
    <x v="308"/>
    <x v="2"/>
    <x v="0"/>
    <x v="2"/>
    <x v="13"/>
    <x v="5"/>
    <x v="28"/>
    <x v="0"/>
    <x v="5"/>
    <x v="5"/>
    <x v="6"/>
    <x v="0"/>
    <x v="0"/>
    <x v="32"/>
    <x v="5"/>
    <x v="5"/>
    <x v="6"/>
    <x v="5"/>
    <x v="0"/>
  </r>
  <r>
    <x v="309"/>
    <x v="3"/>
    <x v="0"/>
    <x v="25"/>
    <x v="6"/>
    <x v="5"/>
    <x v="28"/>
    <x v="0"/>
    <x v="4"/>
    <x v="3"/>
    <x v="6"/>
    <x v="0"/>
    <x v="0"/>
    <x v="18"/>
    <x v="4"/>
    <x v="3"/>
    <x v="6"/>
    <x v="7"/>
    <x v="0"/>
  </r>
  <r>
    <x v="310"/>
    <x v="2"/>
    <x v="2"/>
    <x v="24"/>
    <x v="27"/>
    <x v="23"/>
    <x v="27"/>
    <x v="0"/>
    <x v="3"/>
    <x v="1"/>
    <x v="6"/>
    <x v="0"/>
    <x v="0"/>
    <x v="20"/>
    <x v="3"/>
    <x v="1"/>
    <x v="6"/>
    <x v="9"/>
    <x v="0"/>
  </r>
  <r>
    <x v="311"/>
    <x v="0"/>
    <x v="2"/>
    <x v="8"/>
    <x v="8"/>
    <x v="33"/>
    <x v="34"/>
    <x v="0"/>
    <x v="0"/>
    <x v="0"/>
    <x v="5"/>
    <x v="0"/>
    <x v="0"/>
    <x v="27"/>
    <x v="0"/>
    <x v="0"/>
    <x v="5"/>
    <x v="5"/>
    <x v="0"/>
  </r>
  <r>
    <x v="312"/>
    <x v="1"/>
    <x v="0"/>
    <x v="26"/>
    <x v="18"/>
    <x v="28"/>
    <x v="9"/>
    <x v="0"/>
    <x v="3"/>
    <x v="4"/>
    <x v="5"/>
    <x v="0"/>
    <x v="0"/>
    <x v="30"/>
    <x v="3"/>
    <x v="4"/>
    <x v="5"/>
    <x v="5"/>
    <x v="0"/>
  </r>
  <r>
    <x v="313"/>
    <x v="0"/>
    <x v="0"/>
    <x v="5"/>
    <x v="11"/>
    <x v="12"/>
    <x v="35"/>
    <x v="0"/>
    <x v="1"/>
    <x v="5"/>
    <x v="3"/>
    <x v="0"/>
    <x v="0"/>
    <x v="8"/>
    <x v="1"/>
    <x v="5"/>
    <x v="3"/>
    <x v="5"/>
    <x v="0"/>
  </r>
  <r>
    <x v="314"/>
    <x v="0"/>
    <x v="0"/>
    <x v="3"/>
    <x v="23"/>
    <x v="22"/>
    <x v="23"/>
    <x v="0"/>
    <x v="3"/>
    <x v="1"/>
    <x v="5"/>
    <x v="0"/>
    <x v="0"/>
    <x v="31"/>
    <x v="3"/>
    <x v="1"/>
    <x v="5"/>
    <x v="8"/>
    <x v="0"/>
  </r>
  <r>
    <x v="315"/>
    <x v="0"/>
    <x v="0"/>
    <x v="23"/>
    <x v="9"/>
    <x v="8"/>
    <x v="26"/>
    <x v="0"/>
    <x v="5"/>
    <x v="0"/>
    <x v="0"/>
    <x v="0"/>
    <x v="0"/>
    <x v="30"/>
    <x v="5"/>
    <x v="0"/>
    <x v="0"/>
    <x v="7"/>
    <x v="0"/>
  </r>
  <r>
    <x v="316"/>
    <x v="0"/>
    <x v="0"/>
    <x v="23"/>
    <x v="16"/>
    <x v="24"/>
    <x v="1"/>
    <x v="0"/>
    <x v="4"/>
    <x v="4"/>
    <x v="6"/>
    <x v="0"/>
    <x v="0"/>
    <x v="18"/>
    <x v="4"/>
    <x v="4"/>
    <x v="6"/>
    <x v="3"/>
    <x v="2"/>
  </r>
  <r>
    <x v="317"/>
    <x v="1"/>
    <x v="0"/>
    <x v="8"/>
    <x v="10"/>
    <x v="9"/>
    <x v="10"/>
    <x v="0"/>
    <x v="3"/>
    <x v="1"/>
    <x v="1"/>
    <x v="1"/>
    <x v="4"/>
    <x v="2"/>
    <x v="3"/>
    <x v="1"/>
    <x v="1"/>
    <x v="2"/>
    <x v="0"/>
  </r>
  <r>
    <x v="318"/>
    <x v="0"/>
    <x v="0"/>
    <x v="2"/>
    <x v="33"/>
    <x v="36"/>
    <x v="36"/>
    <x v="0"/>
    <x v="4"/>
    <x v="0"/>
    <x v="4"/>
    <x v="0"/>
    <x v="0"/>
    <x v="22"/>
    <x v="4"/>
    <x v="0"/>
    <x v="4"/>
    <x v="5"/>
    <x v="0"/>
  </r>
  <r>
    <x v="319"/>
    <x v="1"/>
    <x v="0"/>
    <x v="22"/>
    <x v="23"/>
    <x v="15"/>
    <x v="17"/>
    <x v="0"/>
    <x v="0"/>
    <x v="4"/>
    <x v="4"/>
    <x v="1"/>
    <x v="3"/>
    <x v="2"/>
    <x v="0"/>
    <x v="4"/>
    <x v="4"/>
    <x v="2"/>
    <x v="0"/>
  </r>
  <r>
    <x v="320"/>
    <x v="1"/>
    <x v="0"/>
    <x v="26"/>
    <x v="25"/>
    <x v="15"/>
    <x v="17"/>
    <x v="0"/>
    <x v="0"/>
    <x v="0"/>
    <x v="4"/>
    <x v="0"/>
    <x v="0"/>
    <x v="21"/>
    <x v="0"/>
    <x v="0"/>
    <x v="4"/>
    <x v="8"/>
    <x v="0"/>
  </r>
  <r>
    <x v="321"/>
    <x v="2"/>
    <x v="1"/>
    <x v="5"/>
    <x v="2"/>
    <x v="2"/>
    <x v="2"/>
    <x v="1"/>
    <x v="2"/>
    <x v="2"/>
    <x v="2"/>
    <x v="1"/>
    <x v="2"/>
    <x v="2"/>
    <x v="2"/>
    <x v="2"/>
    <x v="2"/>
    <x v="2"/>
    <x v="0"/>
  </r>
  <r>
    <x v="322"/>
    <x v="3"/>
    <x v="0"/>
    <x v="17"/>
    <x v="1"/>
    <x v="20"/>
    <x v="15"/>
    <x v="0"/>
    <x v="5"/>
    <x v="5"/>
    <x v="1"/>
    <x v="1"/>
    <x v="4"/>
    <x v="2"/>
    <x v="5"/>
    <x v="5"/>
    <x v="1"/>
    <x v="2"/>
    <x v="0"/>
  </r>
  <r>
    <x v="323"/>
    <x v="3"/>
    <x v="2"/>
    <x v="23"/>
    <x v="9"/>
    <x v="0"/>
    <x v="0"/>
    <x v="0"/>
    <x v="5"/>
    <x v="1"/>
    <x v="0"/>
    <x v="0"/>
    <x v="0"/>
    <x v="21"/>
    <x v="5"/>
    <x v="1"/>
    <x v="0"/>
    <x v="0"/>
    <x v="0"/>
  </r>
  <r>
    <x v="324"/>
    <x v="1"/>
    <x v="2"/>
    <x v="30"/>
    <x v="15"/>
    <x v="30"/>
    <x v="39"/>
    <x v="0"/>
    <x v="5"/>
    <x v="0"/>
    <x v="4"/>
    <x v="1"/>
    <x v="1"/>
    <x v="2"/>
    <x v="5"/>
    <x v="0"/>
    <x v="4"/>
    <x v="2"/>
    <x v="0"/>
  </r>
  <r>
    <x v="325"/>
    <x v="2"/>
    <x v="2"/>
    <x v="22"/>
    <x v="12"/>
    <x v="31"/>
    <x v="26"/>
    <x v="0"/>
    <x v="4"/>
    <x v="0"/>
    <x v="4"/>
    <x v="0"/>
    <x v="0"/>
    <x v="6"/>
    <x v="4"/>
    <x v="0"/>
    <x v="4"/>
    <x v="4"/>
    <x v="2"/>
  </r>
  <r>
    <x v="326"/>
    <x v="1"/>
    <x v="0"/>
    <x v="22"/>
    <x v="28"/>
    <x v="10"/>
    <x v="18"/>
    <x v="0"/>
    <x v="1"/>
    <x v="1"/>
    <x v="3"/>
    <x v="0"/>
    <x v="0"/>
    <x v="13"/>
    <x v="1"/>
    <x v="1"/>
    <x v="3"/>
    <x v="5"/>
    <x v="0"/>
  </r>
  <r>
    <x v="327"/>
    <x v="1"/>
    <x v="0"/>
    <x v="14"/>
    <x v="27"/>
    <x v="13"/>
    <x v="6"/>
    <x v="0"/>
    <x v="1"/>
    <x v="4"/>
    <x v="0"/>
    <x v="0"/>
    <x v="0"/>
    <x v="29"/>
    <x v="1"/>
    <x v="4"/>
    <x v="0"/>
    <x v="11"/>
    <x v="1"/>
  </r>
  <r>
    <x v="328"/>
    <x v="1"/>
    <x v="0"/>
    <x v="6"/>
    <x v="22"/>
    <x v="28"/>
    <x v="21"/>
    <x v="0"/>
    <x v="1"/>
    <x v="1"/>
    <x v="0"/>
    <x v="0"/>
    <x v="0"/>
    <x v="11"/>
    <x v="1"/>
    <x v="1"/>
    <x v="0"/>
    <x v="9"/>
    <x v="0"/>
  </r>
  <r>
    <x v="329"/>
    <x v="2"/>
    <x v="0"/>
    <x v="16"/>
    <x v="16"/>
    <x v="27"/>
    <x v="33"/>
    <x v="0"/>
    <x v="0"/>
    <x v="0"/>
    <x v="4"/>
    <x v="0"/>
    <x v="0"/>
    <x v="24"/>
    <x v="0"/>
    <x v="0"/>
    <x v="4"/>
    <x v="0"/>
    <x v="0"/>
  </r>
  <r>
    <x v="330"/>
    <x v="3"/>
    <x v="2"/>
    <x v="0"/>
    <x v="0"/>
    <x v="8"/>
    <x v="26"/>
    <x v="0"/>
    <x v="0"/>
    <x v="3"/>
    <x v="0"/>
    <x v="0"/>
    <x v="0"/>
    <x v="14"/>
    <x v="0"/>
    <x v="3"/>
    <x v="0"/>
    <x v="10"/>
    <x v="0"/>
  </r>
  <r>
    <x v="331"/>
    <x v="2"/>
    <x v="0"/>
    <x v="11"/>
    <x v="3"/>
    <x v="1"/>
    <x v="32"/>
    <x v="0"/>
    <x v="1"/>
    <x v="4"/>
    <x v="3"/>
    <x v="0"/>
    <x v="0"/>
    <x v="18"/>
    <x v="1"/>
    <x v="4"/>
    <x v="3"/>
    <x v="6"/>
    <x v="0"/>
  </r>
  <r>
    <x v="332"/>
    <x v="0"/>
    <x v="2"/>
    <x v="20"/>
    <x v="8"/>
    <x v="33"/>
    <x v="20"/>
    <x v="0"/>
    <x v="5"/>
    <x v="0"/>
    <x v="1"/>
    <x v="0"/>
    <x v="0"/>
    <x v="27"/>
    <x v="5"/>
    <x v="0"/>
    <x v="1"/>
    <x v="0"/>
    <x v="0"/>
  </r>
  <r>
    <x v="333"/>
    <x v="2"/>
    <x v="0"/>
    <x v="17"/>
    <x v="21"/>
    <x v="21"/>
    <x v="14"/>
    <x v="0"/>
    <x v="3"/>
    <x v="3"/>
    <x v="3"/>
    <x v="0"/>
    <x v="0"/>
    <x v="33"/>
    <x v="3"/>
    <x v="3"/>
    <x v="3"/>
    <x v="0"/>
    <x v="0"/>
  </r>
  <r>
    <x v="334"/>
    <x v="2"/>
    <x v="2"/>
    <x v="14"/>
    <x v="27"/>
    <x v="13"/>
    <x v="16"/>
    <x v="0"/>
    <x v="1"/>
    <x v="4"/>
    <x v="1"/>
    <x v="0"/>
    <x v="0"/>
    <x v="38"/>
    <x v="1"/>
    <x v="4"/>
    <x v="1"/>
    <x v="10"/>
    <x v="0"/>
  </r>
  <r>
    <x v="335"/>
    <x v="2"/>
    <x v="1"/>
    <x v="23"/>
    <x v="2"/>
    <x v="2"/>
    <x v="2"/>
    <x v="1"/>
    <x v="2"/>
    <x v="2"/>
    <x v="2"/>
    <x v="1"/>
    <x v="5"/>
    <x v="2"/>
    <x v="2"/>
    <x v="2"/>
    <x v="2"/>
    <x v="2"/>
    <x v="0"/>
  </r>
  <r>
    <x v="336"/>
    <x v="2"/>
    <x v="2"/>
    <x v="4"/>
    <x v="14"/>
    <x v="25"/>
    <x v="12"/>
    <x v="0"/>
    <x v="3"/>
    <x v="5"/>
    <x v="6"/>
    <x v="0"/>
    <x v="0"/>
    <x v="33"/>
    <x v="3"/>
    <x v="5"/>
    <x v="6"/>
    <x v="11"/>
    <x v="1"/>
  </r>
  <r>
    <x v="337"/>
    <x v="3"/>
    <x v="1"/>
    <x v="0"/>
    <x v="2"/>
    <x v="2"/>
    <x v="2"/>
    <x v="1"/>
    <x v="2"/>
    <x v="2"/>
    <x v="2"/>
    <x v="1"/>
    <x v="4"/>
    <x v="2"/>
    <x v="2"/>
    <x v="2"/>
    <x v="2"/>
    <x v="2"/>
    <x v="0"/>
  </r>
  <r>
    <x v="338"/>
    <x v="0"/>
    <x v="0"/>
    <x v="5"/>
    <x v="11"/>
    <x v="4"/>
    <x v="4"/>
    <x v="0"/>
    <x v="1"/>
    <x v="1"/>
    <x v="3"/>
    <x v="0"/>
    <x v="0"/>
    <x v="6"/>
    <x v="1"/>
    <x v="1"/>
    <x v="3"/>
    <x v="9"/>
    <x v="0"/>
  </r>
  <r>
    <x v="339"/>
    <x v="3"/>
    <x v="1"/>
    <x v="6"/>
    <x v="2"/>
    <x v="2"/>
    <x v="2"/>
    <x v="1"/>
    <x v="2"/>
    <x v="2"/>
    <x v="2"/>
    <x v="1"/>
    <x v="4"/>
    <x v="2"/>
    <x v="2"/>
    <x v="2"/>
    <x v="2"/>
    <x v="2"/>
    <x v="0"/>
  </r>
  <r>
    <x v="340"/>
    <x v="3"/>
    <x v="0"/>
    <x v="25"/>
    <x v="26"/>
    <x v="32"/>
    <x v="36"/>
    <x v="0"/>
    <x v="3"/>
    <x v="4"/>
    <x v="6"/>
    <x v="0"/>
    <x v="0"/>
    <x v="35"/>
    <x v="3"/>
    <x v="4"/>
    <x v="6"/>
    <x v="4"/>
    <x v="2"/>
  </r>
  <r>
    <x v="341"/>
    <x v="2"/>
    <x v="0"/>
    <x v="6"/>
    <x v="16"/>
    <x v="24"/>
    <x v="3"/>
    <x v="0"/>
    <x v="5"/>
    <x v="4"/>
    <x v="4"/>
    <x v="0"/>
    <x v="0"/>
    <x v="42"/>
    <x v="5"/>
    <x v="4"/>
    <x v="4"/>
    <x v="10"/>
    <x v="0"/>
  </r>
  <r>
    <x v="342"/>
    <x v="1"/>
    <x v="0"/>
    <x v="9"/>
    <x v="24"/>
    <x v="6"/>
    <x v="33"/>
    <x v="0"/>
    <x v="0"/>
    <x v="0"/>
    <x v="1"/>
    <x v="0"/>
    <x v="0"/>
    <x v="3"/>
    <x v="0"/>
    <x v="0"/>
    <x v="1"/>
    <x v="8"/>
    <x v="0"/>
  </r>
  <r>
    <x v="343"/>
    <x v="1"/>
    <x v="0"/>
    <x v="4"/>
    <x v="7"/>
    <x v="6"/>
    <x v="3"/>
    <x v="0"/>
    <x v="1"/>
    <x v="3"/>
    <x v="6"/>
    <x v="0"/>
    <x v="0"/>
    <x v="8"/>
    <x v="1"/>
    <x v="3"/>
    <x v="6"/>
    <x v="1"/>
    <x v="1"/>
  </r>
  <r>
    <x v="344"/>
    <x v="3"/>
    <x v="0"/>
    <x v="1"/>
    <x v="1"/>
    <x v="17"/>
    <x v="19"/>
    <x v="0"/>
    <x v="1"/>
    <x v="4"/>
    <x v="6"/>
    <x v="0"/>
    <x v="0"/>
    <x v="15"/>
    <x v="1"/>
    <x v="4"/>
    <x v="6"/>
    <x v="9"/>
    <x v="0"/>
  </r>
  <r>
    <x v="345"/>
    <x v="3"/>
    <x v="0"/>
    <x v="1"/>
    <x v="24"/>
    <x v="3"/>
    <x v="15"/>
    <x v="0"/>
    <x v="5"/>
    <x v="1"/>
    <x v="4"/>
    <x v="0"/>
    <x v="0"/>
    <x v="31"/>
    <x v="5"/>
    <x v="1"/>
    <x v="4"/>
    <x v="5"/>
    <x v="0"/>
  </r>
  <r>
    <x v="346"/>
    <x v="2"/>
    <x v="0"/>
    <x v="26"/>
    <x v="9"/>
    <x v="27"/>
    <x v="21"/>
    <x v="0"/>
    <x v="4"/>
    <x v="4"/>
    <x v="6"/>
    <x v="0"/>
    <x v="0"/>
    <x v="42"/>
    <x v="4"/>
    <x v="4"/>
    <x v="6"/>
    <x v="8"/>
    <x v="0"/>
  </r>
  <r>
    <x v="347"/>
    <x v="3"/>
    <x v="2"/>
    <x v="7"/>
    <x v="15"/>
    <x v="5"/>
    <x v="6"/>
    <x v="0"/>
    <x v="1"/>
    <x v="4"/>
    <x v="1"/>
    <x v="0"/>
    <x v="0"/>
    <x v="22"/>
    <x v="1"/>
    <x v="4"/>
    <x v="1"/>
    <x v="1"/>
    <x v="1"/>
  </r>
  <r>
    <x v="348"/>
    <x v="2"/>
    <x v="0"/>
    <x v="3"/>
    <x v="23"/>
    <x v="10"/>
    <x v="23"/>
    <x v="0"/>
    <x v="3"/>
    <x v="0"/>
    <x v="1"/>
    <x v="0"/>
    <x v="0"/>
    <x v="31"/>
    <x v="3"/>
    <x v="0"/>
    <x v="1"/>
    <x v="8"/>
    <x v="0"/>
  </r>
  <r>
    <x v="349"/>
    <x v="1"/>
    <x v="0"/>
    <x v="14"/>
    <x v="17"/>
    <x v="14"/>
    <x v="6"/>
    <x v="0"/>
    <x v="5"/>
    <x v="4"/>
    <x v="3"/>
    <x v="0"/>
    <x v="0"/>
    <x v="37"/>
    <x v="5"/>
    <x v="4"/>
    <x v="3"/>
    <x v="5"/>
    <x v="0"/>
  </r>
  <r>
    <x v="350"/>
    <x v="1"/>
    <x v="0"/>
    <x v="1"/>
    <x v="19"/>
    <x v="20"/>
    <x v="27"/>
    <x v="0"/>
    <x v="4"/>
    <x v="3"/>
    <x v="4"/>
    <x v="1"/>
    <x v="1"/>
    <x v="2"/>
    <x v="4"/>
    <x v="3"/>
    <x v="4"/>
    <x v="2"/>
    <x v="0"/>
  </r>
  <r>
    <x v="351"/>
    <x v="0"/>
    <x v="0"/>
    <x v="4"/>
    <x v="7"/>
    <x v="3"/>
    <x v="1"/>
    <x v="0"/>
    <x v="1"/>
    <x v="0"/>
    <x v="0"/>
    <x v="1"/>
    <x v="3"/>
    <x v="2"/>
    <x v="1"/>
    <x v="0"/>
    <x v="0"/>
    <x v="2"/>
    <x v="0"/>
  </r>
  <r>
    <x v="352"/>
    <x v="1"/>
    <x v="0"/>
    <x v="12"/>
    <x v="25"/>
    <x v="8"/>
    <x v="35"/>
    <x v="0"/>
    <x v="1"/>
    <x v="5"/>
    <x v="1"/>
    <x v="0"/>
    <x v="0"/>
    <x v="23"/>
    <x v="1"/>
    <x v="5"/>
    <x v="1"/>
    <x v="7"/>
    <x v="0"/>
  </r>
  <r>
    <x v="353"/>
    <x v="3"/>
    <x v="1"/>
    <x v="6"/>
    <x v="2"/>
    <x v="2"/>
    <x v="2"/>
    <x v="1"/>
    <x v="2"/>
    <x v="2"/>
    <x v="2"/>
    <x v="1"/>
    <x v="2"/>
    <x v="2"/>
    <x v="2"/>
    <x v="2"/>
    <x v="2"/>
    <x v="2"/>
    <x v="0"/>
  </r>
  <r>
    <x v="354"/>
    <x v="1"/>
    <x v="2"/>
    <x v="29"/>
    <x v="1"/>
    <x v="20"/>
    <x v="22"/>
    <x v="0"/>
    <x v="0"/>
    <x v="5"/>
    <x v="6"/>
    <x v="0"/>
    <x v="0"/>
    <x v="42"/>
    <x v="0"/>
    <x v="5"/>
    <x v="6"/>
    <x v="0"/>
    <x v="0"/>
  </r>
  <r>
    <x v="355"/>
    <x v="2"/>
    <x v="0"/>
    <x v="26"/>
    <x v="9"/>
    <x v="8"/>
    <x v="35"/>
    <x v="0"/>
    <x v="4"/>
    <x v="0"/>
    <x v="1"/>
    <x v="0"/>
    <x v="0"/>
    <x v="23"/>
    <x v="4"/>
    <x v="0"/>
    <x v="1"/>
    <x v="9"/>
    <x v="0"/>
  </r>
  <r>
    <x v="356"/>
    <x v="1"/>
    <x v="0"/>
    <x v="8"/>
    <x v="32"/>
    <x v="33"/>
    <x v="20"/>
    <x v="0"/>
    <x v="5"/>
    <x v="3"/>
    <x v="1"/>
    <x v="0"/>
    <x v="0"/>
    <x v="48"/>
    <x v="5"/>
    <x v="3"/>
    <x v="1"/>
    <x v="4"/>
    <x v="2"/>
  </r>
  <r>
    <x v="357"/>
    <x v="0"/>
    <x v="0"/>
    <x v="27"/>
    <x v="1"/>
    <x v="11"/>
    <x v="12"/>
    <x v="0"/>
    <x v="3"/>
    <x v="0"/>
    <x v="3"/>
    <x v="0"/>
    <x v="0"/>
    <x v="5"/>
    <x v="3"/>
    <x v="0"/>
    <x v="3"/>
    <x v="9"/>
    <x v="0"/>
  </r>
  <r>
    <x v="358"/>
    <x v="1"/>
    <x v="1"/>
    <x v="5"/>
    <x v="2"/>
    <x v="2"/>
    <x v="2"/>
    <x v="1"/>
    <x v="2"/>
    <x v="2"/>
    <x v="2"/>
    <x v="1"/>
    <x v="1"/>
    <x v="2"/>
    <x v="2"/>
    <x v="2"/>
    <x v="2"/>
    <x v="2"/>
    <x v="0"/>
  </r>
  <r>
    <x v="359"/>
    <x v="2"/>
    <x v="2"/>
    <x v="22"/>
    <x v="28"/>
    <x v="12"/>
    <x v="13"/>
    <x v="0"/>
    <x v="1"/>
    <x v="0"/>
    <x v="0"/>
    <x v="0"/>
    <x v="0"/>
    <x v="30"/>
    <x v="1"/>
    <x v="0"/>
    <x v="0"/>
    <x v="7"/>
    <x v="0"/>
  </r>
  <r>
    <x v="360"/>
    <x v="2"/>
    <x v="0"/>
    <x v="21"/>
    <x v="18"/>
    <x v="18"/>
    <x v="0"/>
    <x v="0"/>
    <x v="5"/>
    <x v="0"/>
    <x v="1"/>
    <x v="0"/>
    <x v="0"/>
    <x v="21"/>
    <x v="5"/>
    <x v="0"/>
    <x v="1"/>
    <x v="1"/>
    <x v="1"/>
  </r>
  <r>
    <x v="361"/>
    <x v="3"/>
    <x v="0"/>
    <x v="30"/>
    <x v="13"/>
    <x v="13"/>
    <x v="28"/>
    <x v="0"/>
    <x v="0"/>
    <x v="0"/>
    <x v="4"/>
    <x v="0"/>
    <x v="0"/>
    <x v="4"/>
    <x v="0"/>
    <x v="0"/>
    <x v="4"/>
    <x v="6"/>
    <x v="0"/>
  </r>
  <r>
    <x v="362"/>
    <x v="1"/>
    <x v="0"/>
    <x v="11"/>
    <x v="3"/>
    <x v="1"/>
    <x v="1"/>
    <x v="0"/>
    <x v="1"/>
    <x v="4"/>
    <x v="1"/>
    <x v="0"/>
    <x v="0"/>
    <x v="4"/>
    <x v="1"/>
    <x v="4"/>
    <x v="1"/>
    <x v="10"/>
    <x v="0"/>
  </r>
  <r>
    <x v="363"/>
    <x v="2"/>
    <x v="0"/>
    <x v="25"/>
    <x v="6"/>
    <x v="13"/>
    <x v="28"/>
    <x v="0"/>
    <x v="4"/>
    <x v="1"/>
    <x v="4"/>
    <x v="0"/>
    <x v="0"/>
    <x v="5"/>
    <x v="4"/>
    <x v="1"/>
    <x v="4"/>
    <x v="8"/>
    <x v="0"/>
  </r>
  <r>
    <x v="364"/>
    <x v="0"/>
    <x v="0"/>
    <x v="1"/>
    <x v="24"/>
    <x v="11"/>
    <x v="22"/>
    <x v="0"/>
    <x v="5"/>
    <x v="5"/>
    <x v="4"/>
    <x v="0"/>
    <x v="0"/>
    <x v="14"/>
    <x v="5"/>
    <x v="5"/>
    <x v="4"/>
    <x v="7"/>
    <x v="0"/>
  </r>
  <r>
    <x v="365"/>
    <x v="3"/>
    <x v="0"/>
    <x v="17"/>
    <x v="21"/>
    <x v="21"/>
    <x v="14"/>
    <x v="0"/>
    <x v="3"/>
    <x v="3"/>
    <x v="3"/>
    <x v="0"/>
    <x v="0"/>
    <x v="11"/>
    <x v="3"/>
    <x v="3"/>
    <x v="3"/>
    <x v="4"/>
    <x v="2"/>
  </r>
  <r>
    <x v="366"/>
    <x v="0"/>
    <x v="0"/>
    <x v="1"/>
    <x v="14"/>
    <x v="20"/>
    <x v="12"/>
    <x v="0"/>
    <x v="0"/>
    <x v="4"/>
    <x v="0"/>
    <x v="0"/>
    <x v="0"/>
    <x v="19"/>
    <x v="0"/>
    <x v="4"/>
    <x v="0"/>
    <x v="9"/>
    <x v="0"/>
  </r>
  <r>
    <x v="367"/>
    <x v="1"/>
    <x v="2"/>
    <x v="7"/>
    <x v="27"/>
    <x v="30"/>
    <x v="39"/>
    <x v="0"/>
    <x v="5"/>
    <x v="5"/>
    <x v="4"/>
    <x v="1"/>
    <x v="2"/>
    <x v="2"/>
    <x v="5"/>
    <x v="5"/>
    <x v="4"/>
    <x v="2"/>
    <x v="0"/>
  </r>
  <r>
    <x v="368"/>
    <x v="1"/>
    <x v="0"/>
    <x v="22"/>
    <x v="28"/>
    <x v="10"/>
    <x v="18"/>
    <x v="0"/>
    <x v="1"/>
    <x v="1"/>
    <x v="3"/>
    <x v="0"/>
    <x v="0"/>
    <x v="10"/>
    <x v="1"/>
    <x v="1"/>
    <x v="3"/>
    <x v="4"/>
    <x v="2"/>
  </r>
  <r>
    <x v="369"/>
    <x v="1"/>
    <x v="2"/>
    <x v="27"/>
    <x v="1"/>
    <x v="11"/>
    <x v="3"/>
    <x v="0"/>
    <x v="3"/>
    <x v="0"/>
    <x v="5"/>
    <x v="0"/>
    <x v="0"/>
    <x v="42"/>
    <x v="3"/>
    <x v="0"/>
    <x v="5"/>
    <x v="8"/>
    <x v="0"/>
  </r>
  <r>
    <x v="370"/>
    <x v="3"/>
    <x v="0"/>
    <x v="3"/>
    <x v="4"/>
    <x v="7"/>
    <x v="11"/>
    <x v="0"/>
    <x v="1"/>
    <x v="1"/>
    <x v="3"/>
    <x v="0"/>
    <x v="0"/>
    <x v="1"/>
    <x v="1"/>
    <x v="1"/>
    <x v="3"/>
    <x v="11"/>
    <x v="1"/>
  </r>
  <r>
    <x v="371"/>
    <x v="2"/>
    <x v="0"/>
    <x v="16"/>
    <x v="5"/>
    <x v="24"/>
    <x v="5"/>
    <x v="0"/>
    <x v="1"/>
    <x v="5"/>
    <x v="5"/>
    <x v="0"/>
    <x v="0"/>
    <x v="11"/>
    <x v="1"/>
    <x v="5"/>
    <x v="5"/>
    <x v="10"/>
    <x v="0"/>
  </r>
  <r>
    <x v="372"/>
    <x v="3"/>
    <x v="0"/>
    <x v="5"/>
    <x v="23"/>
    <x v="31"/>
    <x v="4"/>
    <x v="0"/>
    <x v="4"/>
    <x v="5"/>
    <x v="1"/>
    <x v="0"/>
    <x v="0"/>
    <x v="16"/>
    <x v="4"/>
    <x v="5"/>
    <x v="1"/>
    <x v="7"/>
    <x v="0"/>
  </r>
  <r>
    <x v="373"/>
    <x v="0"/>
    <x v="0"/>
    <x v="2"/>
    <x v="33"/>
    <x v="34"/>
    <x v="36"/>
    <x v="0"/>
    <x v="4"/>
    <x v="4"/>
    <x v="0"/>
    <x v="0"/>
    <x v="0"/>
    <x v="18"/>
    <x v="4"/>
    <x v="4"/>
    <x v="0"/>
    <x v="0"/>
    <x v="0"/>
  </r>
  <r>
    <x v="374"/>
    <x v="3"/>
    <x v="2"/>
    <x v="26"/>
    <x v="0"/>
    <x v="26"/>
    <x v="5"/>
    <x v="0"/>
    <x v="1"/>
    <x v="4"/>
    <x v="4"/>
    <x v="0"/>
    <x v="0"/>
    <x v="49"/>
    <x v="1"/>
    <x v="4"/>
    <x v="4"/>
    <x v="3"/>
    <x v="2"/>
  </r>
  <r>
    <x v="375"/>
    <x v="0"/>
    <x v="0"/>
    <x v="3"/>
    <x v="10"/>
    <x v="4"/>
    <x v="13"/>
    <x v="0"/>
    <x v="0"/>
    <x v="3"/>
    <x v="4"/>
    <x v="1"/>
    <x v="3"/>
    <x v="2"/>
    <x v="0"/>
    <x v="3"/>
    <x v="4"/>
    <x v="2"/>
    <x v="0"/>
  </r>
  <r>
    <x v="376"/>
    <x v="3"/>
    <x v="0"/>
    <x v="21"/>
    <x v="5"/>
    <x v="28"/>
    <x v="24"/>
    <x v="0"/>
    <x v="4"/>
    <x v="0"/>
    <x v="1"/>
    <x v="0"/>
    <x v="0"/>
    <x v="19"/>
    <x v="4"/>
    <x v="0"/>
    <x v="1"/>
    <x v="9"/>
    <x v="0"/>
  </r>
  <r>
    <x v="377"/>
    <x v="2"/>
    <x v="0"/>
    <x v="11"/>
    <x v="7"/>
    <x v="24"/>
    <x v="1"/>
    <x v="0"/>
    <x v="4"/>
    <x v="1"/>
    <x v="6"/>
    <x v="0"/>
    <x v="0"/>
    <x v="32"/>
    <x v="4"/>
    <x v="1"/>
    <x v="6"/>
    <x v="3"/>
    <x v="2"/>
  </r>
  <r>
    <x v="378"/>
    <x v="0"/>
    <x v="1"/>
    <x v="4"/>
    <x v="2"/>
    <x v="2"/>
    <x v="2"/>
    <x v="1"/>
    <x v="2"/>
    <x v="2"/>
    <x v="2"/>
    <x v="1"/>
    <x v="4"/>
    <x v="2"/>
    <x v="2"/>
    <x v="2"/>
    <x v="2"/>
    <x v="2"/>
    <x v="0"/>
  </r>
  <r>
    <x v="379"/>
    <x v="1"/>
    <x v="2"/>
    <x v="30"/>
    <x v="26"/>
    <x v="5"/>
    <x v="31"/>
    <x v="0"/>
    <x v="4"/>
    <x v="0"/>
    <x v="4"/>
    <x v="0"/>
    <x v="0"/>
    <x v="26"/>
    <x v="4"/>
    <x v="0"/>
    <x v="4"/>
    <x v="4"/>
    <x v="2"/>
  </r>
  <r>
    <x v="380"/>
    <x v="1"/>
    <x v="0"/>
    <x v="28"/>
    <x v="27"/>
    <x v="23"/>
    <x v="19"/>
    <x v="0"/>
    <x v="4"/>
    <x v="1"/>
    <x v="0"/>
    <x v="0"/>
    <x v="0"/>
    <x v="33"/>
    <x v="4"/>
    <x v="1"/>
    <x v="0"/>
    <x v="10"/>
    <x v="0"/>
  </r>
  <r>
    <x v="381"/>
    <x v="3"/>
    <x v="0"/>
    <x v="16"/>
    <x v="3"/>
    <x v="24"/>
    <x v="21"/>
    <x v="0"/>
    <x v="3"/>
    <x v="0"/>
    <x v="1"/>
    <x v="0"/>
    <x v="0"/>
    <x v="14"/>
    <x v="3"/>
    <x v="0"/>
    <x v="1"/>
    <x v="1"/>
    <x v="1"/>
  </r>
  <r>
    <x v="382"/>
    <x v="1"/>
    <x v="0"/>
    <x v="9"/>
    <x v="14"/>
    <x v="25"/>
    <x v="22"/>
    <x v="0"/>
    <x v="1"/>
    <x v="5"/>
    <x v="3"/>
    <x v="0"/>
    <x v="0"/>
    <x v="42"/>
    <x v="1"/>
    <x v="5"/>
    <x v="3"/>
    <x v="8"/>
    <x v="0"/>
  </r>
  <r>
    <x v="383"/>
    <x v="0"/>
    <x v="2"/>
    <x v="18"/>
    <x v="16"/>
    <x v="16"/>
    <x v="5"/>
    <x v="0"/>
    <x v="3"/>
    <x v="5"/>
    <x v="0"/>
    <x v="0"/>
    <x v="0"/>
    <x v="10"/>
    <x v="3"/>
    <x v="5"/>
    <x v="0"/>
    <x v="3"/>
    <x v="2"/>
  </r>
  <r>
    <x v="384"/>
    <x v="1"/>
    <x v="2"/>
    <x v="22"/>
    <x v="11"/>
    <x v="22"/>
    <x v="18"/>
    <x v="0"/>
    <x v="5"/>
    <x v="0"/>
    <x v="4"/>
    <x v="1"/>
    <x v="2"/>
    <x v="2"/>
    <x v="5"/>
    <x v="0"/>
    <x v="4"/>
    <x v="2"/>
    <x v="0"/>
  </r>
  <r>
    <x v="385"/>
    <x v="2"/>
    <x v="1"/>
    <x v="6"/>
    <x v="2"/>
    <x v="2"/>
    <x v="2"/>
    <x v="1"/>
    <x v="2"/>
    <x v="2"/>
    <x v="2"/>
    <x v="1"/>
    <x v="5"/>
    <x v="2"/>
    <x v="2"/>
    <x v="2"/>
    <x v="2"/>
    <x v="2"/>
    <x v="0"/>
  </r>
  <r>
    <x v="386"/>
    <x v="2"/>
    <x v="0"/>
    <x v="0"/>
    <x v="25"/>
    <x v="0"/>
    <x v="17"/>
    <x v="0"/>
    <x v="5"/>
    <x v="3"/>
    <x v="3"/>
    <x v="0"/>
    <x v="0"/>
    <x v="30"/>
    <x v="5"/>
    <x v="3"/>
    <x v="3"/>
    <x v="7"/>
    <x v="0"/>
  </r>
  <r>
    <x v="387"/>
    <x v="3"/>
    <x v="0"/>
    <x v="11"/>
    <x v="5"/>
    <x v="24"/>
    <x v="33"/>
    <x v="0"/>
    <x v="5"/>
    <x v="5"/>
    <x v="0"/>
    <x v="1"/>
    <x v="5"/>
    <x v="2"/>
    <x v="5"/>
    <x v="5"/>
    <x v="0"/>
    <x v="2"/>
    <x v="0"/>
  </r>
  <r>
    <x v="388"/>
    <x v="0"/>
    <x v="0"/>
    <x v="22"/>
    <x v="25"/>
    <x v="0"/>
    <x v="24"/>
    <x v="0"/>
    <x v="3"/>
    <x v="3"/>
    <x v="4"/>
    <x v="0"/>
    <x v="0"/>
    <x v="10"/>
    <x v="3"/>
    <x v="3"/>
    <x v="4"/>
    <x v="9"/>
    <x v="0"/>
  </r>
  <r>
    <x v="389"/>
    <x v="2"/>
    <x v="0"/>
    <x v="30"/>
    <x v="6"/>
    <x v="36"/>
    <x v="25"/>
    <x v="0"/>
    <x v="1"/>
    <x v="5"/>
    <x v="1"/>
    <x v="0"/>
    <x v="0"/>
    <x v="4"/>
    <x v="1"/>
    <x v="5"/>
    <x v="1"/>
    <x v="5"/>
    <x v="0"/>
  </r>
  <r>
    <x v="390"/>
    <x v="2"/>
    <x v="2"/>
    <x v="28"/>
    <x v="20"/>
    <x v="21"/>
    <x v="6"/>
    <x v="0"/>
    <x v="5"/>
    <x v="4"/>
    <x v="4"/>
    <x v="0"/>
    <x v="0"/>
    <x v="25"/>
    <x v="5"/>
    <x v="4"/>
    <x v="4"/>
    <x v="10"/>
    <x v="0"/>
  </r>
  <r>
    <x v="391"/>
    <x v="0"/>
    <x v="0"/>
    <x v="17"/>
    <x v="17"/>
    <x v="14"/>
    <x v="25"/>
    <x v="0"/>
    <x v="4"/>
    <x v="4"/>
    <x v="4"/>
    <x v="0"/>
    <x v="0"/>
    <x v="32"/>
    <x v="4"/>
    <x v="4"/>
    <x v="4"/>
    <x v="8"/>
    <x v="0"/>
  </r>
  <r>
    <x v="392"/>
    <x v="1"/>
    <x v="0"/>
    <x v="21"/>
    <x v="18"/>
    <x v="18"/>
    <x v="24"/>
    <x v="0"/>
    <x v="5"/>
    <x v="0"/>
    <x v="6"/>
    <x v="0"/>
    <x v="0"/>
    <x v="0"/>
    <x v="5"/>
    <x v="0"/>
    <x v="6"/>
    <x v="5"/>
    <x v="0"/>
  </r>
  <r>
    <x v="393"/>
    <x v="1"/>
    <x v="1"/>
    <x v="13"/>
    <x v="2"/>
    <x v="2"/>
    <x v="2"/>
    <x v="1"/>
    <x v="2"/>
    <x v="2"/>
    <x v="2"/>
    <x v="1"/>
    <x v="1"/>
    <x v="2"/>
    <x v="2"/>
    <x v="2"/>
    <x v="2"/>
    <x v="2"/>
    <x v="0"/>
  </r>
  <r>
    <x v="394"/>
    <x v="3"/>
    <x v="2"/>
    <x v="20"/>
    <x v="35"/>
    <x v="33"/>
    <x v="40"/>
    <x v="0"/>
    <x v="0"/>
    <x v="1"/>
    <x v="6"/>
    <x v="0"/>
    <x v="0"/>
    <x v="50"/>
    <x v="0"/>
    <x v="1"/>
    <x v="6"/>
    <x v="0"/>
    <x v="0"/>
  </r>
  <r>
    <x v="395"/>
    <x v="1"/>
    <x v="0"/>
    <x v="29"/>
    <x v="20"/>
    <x v="21"/>
    <x v="16"/>
    <x v="0"/>
    <x v="4"/>
    <x v="4"/>
    <x v="6"/>
    <x v="0"/>
    <x v="0"/>
    <x v="11"/>
    <x v="4"/>
    <x v="4"/>
    <x v="6"/>
    <x v="1"/>
    <x v="1"/>
  </r>
  <r>
    <x v="396"/>
    <x v="0"/>
    <x v="0"/>
    <x v="11"/>
    <x v="7"/>
    <x v="1"/>
    <x v="32"/>
    <x v="0"/>
    <x v="4"/>
    <x v="5"/>
    <x v="3"/>
    <x v="0"/>
    <x v="0"/>
    <x v="15"/>
    <x v="4"/>
    <x v="5"/>
    <x v="3"/>
    <x v="5"/>
    <x v="0"/>
  </r>
  <r>
    <x v="397"/>
    <x v="2"/>
    <x v="0"/>
    <x v="10"/>
    <x v="4"/>
    <x v="10"/>
    <x v="4"/>
    <x v="0"/>
    <x v="4"/>
    <x v="5"/>
    <x v="0"/>
    <x v="0"/>
    <x v="0"/>
    <x v="1"/>
    <x v="4"/>
    <x v="5"/>
    <x v="0"/>
    <x v="0"/>
    <x v="0"/>
  </r>
  <r>
    <x v="398"/>
    <x v="1"/>
    <x v="0"/>
    <x v="12"/>
    <x v="28"/>
    <x v="0"/>
    <x v="17"/>
    <x v="0"/>
    <x v="5"/>
    <x v="4"/>
    <x v="3"/>
    <x v="0"/>
    <x v="0"/>
    <x v="12"/>
    <x v="5"/>
    <x v="4"/>
    <x v="3"/>
    <x v="5"/>
    <x v="0"/>
  </r>
  <r>
    <x v="399"/>
    <x v="3"/>
    <x v="0"/>
    <x v="6"/>
    <x v="3"/>
    <x v="1"/>
    <x v="1"/>
    <x v="0"/>
    <x v="4"/>
    <x v="4"/>
    <x v="1"/>
    <x v="0"/>
    <x v="0"/>
    <x v="14"/>
    <x v="4"/>
    <x v="4"/>
    <x v="1"/>
    <x v="11"/>
    <x v="1"/>
  </r>
  <r>
    <x v="400"/>
    <x v="1"/>
    <x v="0"/>
    <x v="7"/>
    <x v="30"/>
    <x v="21"/>
    <x v="22"/>
    <x v="0"/>
    <x v="0"/>
    <x v="1"/>
    <x v="1"/>
    <x v="0"/>
    <x v="0"/>
    <x v="39"/>
    <x v="0"/>
    <x v="1"/>
    <x v="1"/>
    <x v="10"/>
    <x v="0"/>
  </r>
  <r>
    <x v="401"/>
    <x v="0"/>
    <x v="0"/>
    <x v="2"/>
    <x v="29"/>
    <x v="35"/>
    <x v="42"/>
    <x v="0"/>
    <x v="3"/>
    <x v="4"/>
    <x v="3"/>
    <x v="0"/>
    <x v="0"/>
    <x v="22"/>
    <x v="3"/>
    <x v="4"/>
    <x v="3"/>
    <x v="1"/>
    <x v="1"/>
  </r>
  <r>
    <x v="402"/>
    <x v="3"/>
    <x v="0"/>
    <x v="0"/>
    <x v="0"/>
    <x v="0"/>
    <x v="24"/>
    <x v="0"/>
    <x v="0"/>
    <x v="0"/>
    <x v="4"/>
    <x v="0"/>
    <x v="0"/>
    <x v="21"/>
    <x v="0"/>
    <x v="0"/>
    <x v="4"/>
    <x v="11"/>
    <x v="1"/>
  </r>
  <r>
    <x v="403"/>
    <x v="1"/>
    <x v="1"/>
    <x v="18"/>
    <x v="2"/>
    <x v="2"/>
    <x v="2"/>
    <x v="1"/>
    <x v="2"/>
    <x v="2"/>
    <x v="2"/>
    <x v="1"/>
    <x v="3"/>
    <x v="2"/>
    <x v="2"/>
    <x v="2"/>
    <x v="2"/>
    <x v="2"/>
    <x v="0"/>
  </r>
  <r>
    <x v="404"/>
    <x v="3"/>
    <x v="0"/>
    <x v="19"/>
    <x v="23"/>
    <x v="22"/>
    <x v="23"/>
    <x v="0"/>
    <x v="1"/>
    <x v="1"/>
    <x v="5"/>
    <x v="1"/>
    <x v="1"/>
    <x v="2"/>
    <x v="1"/>
    <x v="1"/>
    <x v="5"/>
    <x v="2"/>
    <x v="0"/>
  </r>
  <r>
    <x v="405"/>
    <x v="0"/>
    <x v="0"/>
    <x v="24"/>
    <x v="21"/>
    <x v="30"/>
    <x v="16"/>
    <x v="0"/>
    <x v="4"/>
    <x v="4"/>
    <x v="5"/>
    <x v="0"/>
    <x v="0"/>
    <x v="32"/>
    <x v="4"/>
    <x v="4"/>
    <x v="5"/>
    <x v="11"/>
    <x v="1"/>
  </r>
  <r>
    <x v="406"/>
    <x v="2"/>
    <x v="2"/>
    <x v="12"/>
    <x v="12"/>
    <x v="0"/>
    <x v="24"/>
    <x v="0"/>
    <x v="0"/>
    <x v="5"/>
    <x v="4"/>
    <x v="0"/>
    <x v="0"/>
    <x v="11"/>
    <x v="0"/>
    <x v="5"/>
    <x v="4"/>
    <x v="11"/>
    <x v="1"/>
  </r>
  <r>
    <x v="407"/>
    <x v="0"/>
    <x v="1"/>
    <x v="14"/>
    <x v="2"/>
    <x v="2"/>
    <x v="2"/>
    <x v="1"/>
    <x v="2"/>
    <x v="2"/>
    <x v="2"/>
    <x v="1"/>
    <x v="1"/>
    <x v="2"/>
    <x v="2"/>
    <x v="2"/>
    <x v="2"/>
    <x v="2"/>
    <x v="0"/>
  </r>
  <r>
    <x v="408"/>
    <x v="0"/>
    <x v="2"/>
    <x v="29"/>
    <x v="14"/>
    <x v="20"/>
    <x v="32"/>
    <x v="0"/>
    <x v="5"/>
    <x v="4"/>
    <x v="5"/>
    <x v="1"/>
    <x v="1"/>
    <x v="2"/>
    <x v="5"/>
    <x v="4"/>
    <x v="5"/>
    <x v="2"/>
    <x v="0"/>
  </r>
  <r>
    <x v="409"/>
    <x v="0"/>
    <x v="2"/>
    <x v="21"/>
    <x v="16"/>
    <x v="27"/>
    <x v="17"/>
    <x v="0"/>
    <x v="1"/>
    <x v="0"/>
    <x v="1"/>
    <x v="0"/>
    <x v="0"/>
    <x v="8"/>
    <x v="1"/>
    <x v="0"/>
    <x v="1"/>
    <x v="10"/>
    <x v="0"/>
  </r>
  <r>
    <x v="410"/>
    <x v="0"/>
    <x v="2"/>
    <x v="2"/>
    <x v="6"/>
    <x v="37"/>
    <x v="28"/>
    <x v="0"/>
    <x v="0"/>
    <x v="0"/>
    <x v="3"/>
    <x v="0"/>
    <x v="0"/>
    <x v="33"/>
    <x v="0"/>
    <x v="0"/>
    <x v="3"/>
    <x v="10"/>
    <x v="0"/>
  </r>
  <r>
    <x v="411"/>
    <x v="2"/>
    <x v="0"/>
    <x v="21"/>
    <x v="5"/>
    <x v="24"/>
    <x v="33"/>
    <x v="0"/>
    <x v="4"/>
    <x v="5"/>
    <x v="0"/>
    <x v="0"/>
    <x v="0"/>
    <x v="19"/>
    <x v="4"/>
    <x v="5"/>
    <x v="0"/>
    <x v="4"/>
    <x v="2"/>
  </r>
  <r>
    <x v="412"/>
    <x v="2"/>
    <x v="2"/>
    <x v="4"/>
    <x v="22"/>
    <x v="28"/>
    <x v="5"/>
    <x v="0"/>
    <x v="5"/>
    <x v="1"/>
    <x v="6"/>
    <x v="0"/>
    <x v="0"/>
    <x v="32"/>
    <x v="5"/>
    <x v="1"/>
    <x v="6"/>
    <x v="11"/>
    <x v="1"/>
  </r>
  <r>
    <x v="413"/>
    <x v="3"/>
    <x v="2"/>
    <x v="25"/>
    <x v="6"/>
    <x v="36"/>
    <x v="25"/>
    <x v="0"/>
    <x v="4"/>
    <x v="5"/>
    <x v="1"/>
    <x v="0"/>
    <x v="0"/>
    <x v="32"/>
    <x v="4"/>
    <x v="5"/>
    <x v="1"/>
    <x v="9"/>
    <x v="0"/>
  </r>
  <r>
    <x v="414"/>
    <x v="1"/>
    <x v="2"/>
    <x v="24"/>
    <x v="17"/>
    <x v="14"/>
    <x v="6"/>
    <x v="0"/>
    <x v="1"/>
    <x v="4"/>
    <x v="3"/>
    <x v="1"/>
    <x v="5"/>
    <x v="2"/>
    <x v="1"/>
    <x v="4"/>
    <x v="3"/>
    <x v="2"/>
    <x v="0"/>
  </r>
  <r>
    <x v="415"/>
    <x v="2"/>
    <x v="2"/>
    <x v="5"/>
    <x v="4"/>
    <x v="10"/>
    <x v="23"/>
    <x v="0"/>
    <x v="0"/>
    <x v="5"/>
    <x v="1"/>
    <x v="0"/>
    <x v="0"/>
    <x v="43"/>
    <x v="0"/>
    <x v="5"/>
    <x v="1"/>
    <x v="6"/>
    <x v="0"/>
  </r>
  <r>
    <x v="416"/>
    <x v="2"/>
    <x v="0"/>
    <x v="20"/>
    <x v="10"/>
    <x v="9"/>
    <x v="10"/>
    <x v="0"/>
    <x v="4"/>
    <x v="1"/>
    <x v="1"/>
    <x v="0"/>
    <x v="0"/>
    <x v="13"/>
    <x v="4"/>
    <x v="1"/>
    <x v="1"/>
    <x v="8"/>
    <x v="0"/>
  </r>
  <r>
    <x v="417"/>
    <x v="1"/>
    <x v="0"/>
    <x v="7"/>
    <x v="15"/>
    <x v="13"/>
    <x v="39"/>
    <x v="0"/>
    <x v="1"/>
    <x v="3"/>
    <x v="3"/>
    <x v="0"/>
    <x v="0"/>
    <x v="28"/>
    <x v="1"/>
    <x v="3"/>
    <x v="3"/>
    <x v="4"/>
    <x v="2"/>
  </r>
  <r>
    <x v="418"/>
    <x v="2"/>
    <x v="0"/>
    <x v="11"/>
    <x v="5"/>
    <x v="24"/>
    <x v="33"/>
    <x v="0"/>
    <x v="5"/>
    <x v="5"/>
    <x v="0"/>
    <x v="0"/>
    <x v="0"/>
    <x v="42"/>
    <x v="5"/>
    <x v="5"/>
    <x v="0"/>
    <x v="3"/>
    <x v="2"/>
  </r>
  <r>
    <x v="419"/>
    <x v="0"/>
    <x v="0"/>
    <x v="8"/>
    <x v="8"/>
    <x v="19"/>
    <x v="20"/>
    <x v="0"/>
    <x v="0"/>
    <x v="1"/>
    <x v="5"/>
    <x v="0"/>
    <x v="0"/>
    <x v="13"/>
    <x v="0"/>
    <x v="1"/>
    <x v="5"/>
    <x v="7"/>
    <x v="0"/>
  </r>
  <r>
    <x v="420"/>
    <x v="0"/>
    <x v="0"/>
    <x v="7"/>
    <x v="30"/>
    <x v="30"/>
    <x v="27"/>
    <x v="0"/>
    <x v="0"/>
    <x v="3"/>
    <x v="1"/>
    <x v="0"/>
    <x v="0"/>
    <x v="18"/>
    <x v="0"/>
    <x v="3"/>
    <x v="1"/>
    <x v="10"/>
    <x v="0"/>
  </r>
  <r>
    <x v="421"/>
    <x v="1"/>
    <x v="2"/>
    <x v="0"/>
    <x v="9"/>
    <x v="0"/>
    <x v="0"/>
    <x v="0"/>
    <x v="1"/>
    <x v="1"/>
    <x v="0"/>
    <x v="0"/>
    <x v="0"/>
    <x v="31"/>
    <x v="1"/>
    <x v="1"/>
    <x v="0"/>
    <x v="11"/>
    <x v="1"/>
  </r>
  <r>
    <x v="422"/>
    <x v="3"/>
    <x v="0"/>
    <x v="5"/>
    <x v="4"/>
    <x v="7"/>
    <x v="11"/>
    <x v="0"/>
    <x v="0"/>
    <x v="1"/>
    <x v="3"/>
    <x v="0"/>
    <x v="0"/>
    <x v="51"/>
    <x v="0"/>
    <x v="1"/>
    <x v="3"/>
    <x v="0"/>
    <x v="0"/>
  </r>
  <r>
    <x v="423"/>
    <x v="3"/>
    <x v="1"/>
    <x v="13"/>
    <x v="2"/>
    <x v="2"/>
    <x v="2"/>
    <x v="1"/>
    <x v="2"/>
    <x v="2"/>
    <x v="2"/>
    <x v="1"/>
    <x v="5"/>
    <x v="2"/>
    <x v="2"/>
    <x v="2"/>
    <x v="2"/>
    <x v="2"/>
    <x v="0"/>
  </r>
  <r>
    <x v="424"/>
    <x v="1"/>
    <x v="0"/>
    <x v="6"/>
    <x v="16"/>
    <x v="28"/>
    <x v="1"/>
    <x v="0"/>
    <x v="5"/>
    <x v="3"/>
    <x v="4"/>
    <x v="0"/>
    <x v="0"/>
    <x v="32"/>
    <x v="5"/>
    <x v="3"/>
    <x v="4"/>
    <x v="9"/>
    <x v="0"/>
  </r>
  <r>
    <x v="425"/>
    <x v="1"/>
    <x v="2"/>
    <x v="20"/>
    <x v="8"/>
    <x v="9"/>
    <x v="11"/>
    <x v="0"/>
    <x v="5"/>
    <x v="5"/>
    <x v="4"/>
    <x v="0"/>
    <x v="0"/>
    <x v="49"/>
    <x v="5"/>
    <x v="5"/>
    <x v="4"/>
    <x v="9"/>
    <x v="0"/>
  </r>
  <r>
    <x v="426"/>
    <x v="0"/>
    <x v="0"/>
    <x v="12"/>
    <x v="12"/>
    <x v="15"/>
    <x v="26"/>
    <x v="0"/>
    <x v="0"/>
    <x v="3"/>
    <x v="3"/>
    <x v="0"/>
    <x v="0"/>
    <x v="42"/>
    <x v="0"/>
    <x v="3"/>
    <x v="3"/>
    <x v="5"/>
    <x v="0"/>
  </r>
  <r>
    <x v="427"/>
    <x v="3"/>
    <x v="0"/>
    <x v="29"/>
    <x v="20"/>
    <x v="23"/>
    <x v="14"/>
    <x v="0"/>
    <x v="4"/>
    <x v="5"/>
    <x v="4"/>
    <x v="0"/>
    <x v="0"/>
    <x v="22"/>
    <x v="4"/>
    <x v="5"/>
    <x v="4"/>
    <x v="11"/>
    <x v="1"/>
  </r>
  <r>
    <x v="428"/>
    <x v="2"/>
    <x v="0"/>
    <x v="16"/>
    <x v="22"/>
    <x v="28"/>
    <x v="9"/>
    <x v="0"/>
    <x v="4"/>
    <x v="1"/>
    <x v="5"/>
    <x v="0"/>
    <x v="0"/>
    <x v="8"/>
    <x v="4"/>
    <x v="1"/>
    <x v="5"/>
    <x v="1"/>
    <x v="1"/>
  </r>
  <r>
    <x v="429"/>
    <x v="0"/>
    <x v="2"/>
    <x v="12"/>
    <x v="28"/>
    <x v="15"/>
    <x v="13"/>
    <x v="0"/>
    <x v="5"/>
    <x v="5"/>
    <x v="1"/>
    <x v="0"/>
    <x v="0"/>
    <x v="23"/>
    <x v="5"/>
    <x v="5"/>
    <x v="1"/>
    <x v="5"/>
    <x v="0"/>
  </r>
  <r>
    <x v="430"/>
    <x v="1"/>
    <x v="2"/>
    <x v="17"/>
    <x v="17"/>
    <x v="17"/>
    <x v="22"/>
    <x v="0"/>
    <x v="4"/>
    <x v="0"/>
    <x v="0"/>
    <x v="0"/>
    <x v="0"/>
    <x v="26"/>
    <x v="4"/>
    <x v="0"/>
    <x v="0"/>
    <x v="4"/>
    <x v="2"/>
  </r>
  <r>
    <x v="431"/>
    <x v="3"/>
    <x v="2"/>
    <x v="4"/>
    <x v="7"/>
    <x v="6"/>
    <x v="3"/>
    <x v="0"/>
    <x v="1"/>
    <x v="3"/>
    <x v="6"/>
    <x v="0"/>
    <x v="0"/>
    <x v="42"/>
    <x v="1"/>
    <x v="3"/>
    <x v="6"/>
    <x v="8"/>
    <x v="0"/>
  </r>
  <r>
    <x v="432"/>
    <x v="2"/>
    <x v="1"/>
    <x v="5"/>
    <x v="2"/>
    <x v="2"/>
    <x v="2"/>
    <x v="1"/>
    <x v="2"/>
    <x v="2"/>
    <x v="2"/>
    <x v="1"/>
    <x v="1"/>
    <x v="2"/>
    <x v="2"/>
    <x v="2"/>
    <x v="2"/>
    <x v="2"/>
    <x v="0"/>
  </r>
  <r>
    <x v="433"/>
    <x v="2"/>
    <x v="0"/>
    <x v="6"/>
    <x v="7"/>
    <x v="6"/>
    <x v="29"/>
    <x v="0"/>
    <x v="3"/>
    <x v="3"/>
    <x v="0"/>
    <x v="0"/>
    <x v="0"/>
    <x v="8"/>
    <x v="3"/>
    <x v="3"/>
    <x v="0"/>
    <x v="10"/>
    <x v="0"/>
  </r>
  <r>
    <x v="434"/>
    <x v="0"/>
    <x v="2"/>
    <x v="6"/>
    <x v="5"/>
    <x v="3"/>
    <x v="29"/>
    <x v="0"/>
    <x v="0"/>
    <x v="4"/>
    <x v="6"/>
    <x v="0"/>
    <x v="0"/>
    <x v="30"/>
    <x v="0"/>
    <x v="4"/>
    <x v="6"/>
    <x v="9"/>
    <x v="0"/>
  </r>
  <r>
    <x v="435"/>
    <x v="3"/>
    <x v="2"/>
    <x v="24"/>
    <x v="17"/>
    <x v="20"/>
    <x v="19"/>
    <x v="0"/>
    <x v="1"/>
    <x v="1"/>
    <x v="3"/>
    <x v="0"/>
    <x v="0"/>
    <x v="38"/>
    <x v="1"/>
    <x v="1"/>
    <x v="3"/>
    <x v="11"/>
    <x v="1"/>
  </r>
  <r>
    <x v="436"/>
    <x v="3"/>
    <x v="0"/>
    <x v="11"/>
    <x v="5"/>
    <x v="27"/>
    <x v="5"/>
    <x v="0"/>
    <x v="5"/>
    <x v="1"/>
    <x v="3"/>
    <x v="0"/>
    <x v="0"/>
    <x v="19"/>
    <x v="5"/>
    <x v="1"/>
    <x v="3"/>
    <x v="9"/>
    <x v="0"/>
  </r>
  <r>
    <x v="437"/>
    <x v="1"/>
    <x v="2"/>
    <x v="21"/>
    <x v="22"/>
    <x v="3"/>
    <x v="29"/>
    <x v="0"/>
    <x v="3"/>
    <x v="5"/>
    <x v="6"/>
    <x v="0"/>
    <x v="0"/>
    <x v="10"/>
    <x v="3"/>
    <x v="5"/>
    <x v="6"/>
    <x v="1"/>
    <x v="1"/>
  </r>
  <r>
    <x v="438"/>
    <x v="3"/>
    <x v="2"/>
    <x v="13"/>
    <x v="21"/>
    <x v="23"/>
    <x v="12"/>
    <x v="0"/>
    <x v="5"/>
    <x v="0"/>
    <x v="1"/>
    <x v="0"/>
    <x v="0"/>
    <x v="18"/>
    <x v="5"/>
    <x v="0"/>
    <x v="1"/>
    <x v="11"/>
    <x v="1"/>
  </r>
  <r>
    <x v="439"/>
    <x v="3"/>
    <x v="1"/>
    <x v="27"/>
    <x v="2"/>
    <x v="2"/>
    <x v="2"/>
    <x v="1"/>
    <x v="2"/>
    <x v="2"/>
    <x v="2"/>
    <x v="1"/>
    <x v="5"/>
    <x v="2"/>
    <x v="2"/>
    <x v="2"/>
    <x v="2"/>
    <x v="2"/>
    <x v="0"/>
  </r>
  <r>
    <x v="440"/>
    <x v="0"/>
    <x v="2"/>
    <x v="28"/>
    <x v="30"/>
    <x v="21"/>
    <x v="6"/>
    <x v="0"/>
    <x v="3"/>
    <x v="1"/>
    <x v="4"/>
    <x v="0"/>
    <x v="0"/>
    <x v="26"/>
    <x v="3"/>
    <x v="1"/>
    <x v="4"/>
    <x v="10"/>
    <x v="0"/>
  </r>
  <r>
    <x v="441"/>
    <x v="3"/>
    <x v="0"/>
    <x v="20"/>
    <x v="34"/>
    <x v="9"/>
    <x v="23"/>
    <x v="0"/>
    <x v="1"/>
    <x v="0"/>
    <x v="3"/>
    <x v="0"/>
    <x v="0"/>
    <x v="13"/>
    <x v="1"/>
    <x v="0"/>
    <x v="3"/>
    <x v="1"/>
    <x v="1"/>
  </r>
  <r>
    <x v="442"/>
    <x v="2"/>
    <x v="1"/>
    <x v="18"/>
    <x v="2"/>
    <x v="2"/>
    <x v="2"/>
    <x v="1"/>
    <x v="2"/>
    <x v="2"/>
    <x v="2"/>
    <x v="1"/>
    <x v="3"/>
    <x v="2"/>
    <x v="2"/>
    <x v="2"/>
    <x v="2"/>
    <x v="2"/>
    <x v="0"/>
  </r>
  <r>
    <x v="443"/>
    <x v="0"/>
    <x v="0"/>
    <x v="16"/>
    <x v="3"/>
    <x v="1"/>
    <x v="29"/>
    <x v="0"/>
    <x v="3"/>
    <x v="4"/>
    <x v="5"/>
    <x v="0"/>
    <x v="0"/>
    <x v="24"/>
    <x v="3"/>
    <x v="4"/>
    <x v="5"/>
    <x v="5"/>
    <x v="0"/>
  </r>
  <r>
    <x v="444"/>
    <x v="0"/>
    <x v="2"/>
    <x v="15"/>
    <x v="25"/>
    <x v="0"/>
    <x v="35"/>
    <x v="0"/>
    <x v="4"/>
    <x v="3"/>
    <x v="5"/>
    <x v="1"/>
    <x v="1"/>
    <x v="2"/>
    <x v="4"/>
    <x v="3"/>
    <x v="5"/>
    <x v="2"/>
    <x v="0"/>
  </r>
  <r>
    <x v="445"/>
    <x v="1"/>
    <x v="2"/>
    <x v="10"/>
    <x v="10"/>
    <x v="7"/>
    <x v="37"/>
    <x v="0"/>
    <x v="1"/>
    <x v="0"/>
    <x v="5"/>
    <x v="0"/>
    <x v="0"/>
    <x v="44"/>
    <x v="1"/>
    <x v="0"/>
    <x v="5"/>
    <x v="9"/>
    <x v="0"/>
  </r>
  <r>
    <x v="446"/>
    <x v="3"/>
    <x v="1"/>
    <x v="13"/>
    <x v="2"/>
    <x v="2"/>
    <x v="2"/>
    <x v="1"/>
    <x v="2"/>
    <x v="2"/>
    <x v="2"/>
    <x v="1"/>
    <x v="5"/>
    <x v="2"/>
    <x v="2"/>
    <x v="2"/>
    <x v="2"/>
    <x v="2"/>
    <x v="0"/>
  </r>
  <r>
    <x v="447"/>
    <x v="1"/>
    <x v="1"/>
    <x v="3"/>
    <x v="2"/>
    <x v="2"/>
    <x v="2"/>
    <x v="1"/>
    <x v="2"/>
    <x v="2"/>
    <x v="2"/>
    <x v="1"/>
    <x v="2"/>
    <x v="2"/>
    <x v="2"/>
    <x v="2"/>
    <x v="2"/>
    <x v="2"/>
    <x v="0"/>
  </r>
  <r>
    <x v="448"/>
    <x v="2"/>
    <x v="0"/>
    <x v="25"/>
    <x v="15"/>
    <x v="14"/>
    <x v="19"/>
    <x v="0"/>
    <x v="0"/>
    <x v="1"/>
    <x v="1"/>
    <x v="0"/>
    <x v="0"/>
    <x v="34"/>
    <x v="0"/>
    <x v="1"/>
    <x v="1"/>
    <x v="9"/>
    <x v="0"/>
  </r>
  <r>
    <x v="449"/>
    <x v="0"/>
    <x v="2"/>
    <x v="17"/>
    <x v="1"/>
    <x v="25"/>
    <x v="15"/>
    <x v="0"/>
    <x v="5"/>
    <x v="3"/>
    <x v="5"/>
    <x v="0"/>
    <x v="0"/>
    <x v="10"/>
    <x v="5"/>
    <x v="3"/>
    <x v="5"/>
    <x v="9"/>
    <x v="0"/>
  </r>
  <r>
    <x v="450"/>
    <x v="0"/>
    <x v="0"/>
    <x v="22"/>
    <x v="12"/>
    <x v="31"/>
    <x v="35"/>
    <x v="0"/>
    <x v="4"/>
    <x v="0"/>
    <x v="6"/>
    <x v="0"/>
    <x v="0"/>
    <x v="12"/>
    <x v="4"/>
    <x v="0"/>
    <x v="6"/>
    <x v="6"/>
    <x v="0"/>
  </r>
  <r>
    <x v="451"/>
    <x v="0"/>
    <x v="1"/>
    <x v="19"/>
    <x v="2"/>
    <x v="2"/>
    <x v="2"/>
    <x v="1"/>
    <x v="2"/>
    <x v="2"/>
    <x v="2"/>
    <x v="1"/>
    <x v="1"/>
    <x v="2"/>
    <x v="2"/>
    <x v="2"/>
    <x v="2"/>
    <x v="2"/>
    <x v="0"/>
  </r>
  <r>
    <x v="452"/>
    <x v="2"/>
    <x v="0"/>
    <x v="3"/>
    <x v="10"/>
    <x v="7"/>
    <x v="40"/>
    <x v="0"/>
    <x v="0"/>
    <x v="0"/>
    <x v="1"/>
    <x v="0"/>
    <x v="0"/>
    <x v="30"/>
    <x v="0"/>
    <x v="0"/>
    <x v="1"/>
    <x v="8"/>
    <x v="0"/>
  </r>
  <r>
    <x v="453"/>
    <x v="2"/>
    <x v="1"/>
    <x v="4"/>
    <x v="2"/>
    <x v="2"/>
    <x v="2"/>
    <x v="1"/>
    <x v="2"/>
    <x v="2"/>
    <x v="2"/>
    <x v="1"/>
    <x v="1"/>
    <x v="2"/>
    <x v="2"/>
    <x v="2"/>
    <x v="2"/>
    <x v="2"/>
    <x v="0"/>
  </r>
  <r>
    <x v="454"/>
    <x v="1"/>
    <x v="1"/>
    <x v="1"/>
    <x v="2"/>
    <x v="2"/>
    <x v="2"/>
    <x v="1"/>
    <x v="2"/>
    <x v="2"/>
    <x v="2"/>
    <x v="1"/>
    <x v="3"/>
    <x v="2"/>
    <x v="2"/>
    <x v="2"/>
    <x v="2"/>
    <x v="2"/>
    <x v="0"/>
  </r>
  <r>
    <x v="455"/>
    <x v="1"/>
    <x v="0"/>
    <x v="20"/>
    <x v="4"/>
    <x v="10"/>
    <x v="35"/>
    <x v="0"/>
    <x v="3"/>
    <x v="5"/>
    <x v="4"/>
    <x v="0"/>
    <x v="0"/>
    <x v="8"/>
    <x v="3"/>
    <x v="5"/>
    <x v="4"/>
    <x v="3"/>
    <x v="2"/>
  </r>
  <r>
    <x v="456"/>
    <x v="1"/>
    <x v="0"/>
    <x v="19"/>
    <x v="28"/>
    <x v="31"/>
    <x v="4"/>
    <x v="0"/>
    <x v="4"/>
    <x v="3"/>
    <x v="1"/>
    <x v="1"/>
    <x v="4"/>
    <x v="2"/>
    <x v="4"/>
    <x v="3"/>
    <x v="1"/>
    <x v="2"/>
    <x v="0"/>
  </r>
  <r>
    <x v="457"/>
    <x v="3"/>
    <x v="0"/>
    <x v="16"/>
    <x v="16"/>
    <x v="27"/>
    <x v="21"/>
    <x v="0"/>
    <x v="0"/>
    <x v="0"/>
    <x v="6"/>
    <x v="0"/>
    <x v="0"/>
    <x v="30"/>
    <x v="0"/>
    <x v="0"/>
    <x v="6"/>
    <x v="7"/>
    <x v="0"/>
  </r>
  <r>
    <x v="458"/>
    <x v="0"/>
    <x v="2"/>
    <x v="17"/>
    <x v="20"/>
    <x v="23"/>
    <x v="16"/>
    <x v="0"/>
    <x v="1"/>
    <x v="5"/>
    <x v="3"/>
    <x v="0"/>
    <x v="0"/>
    <x v="32"/>
    <x v="1"/>
    <x v="5"/>
    <x v="3"/>
    <x v="7"/>
    <x v="0"/>
  </r>
  <r>
    <x v="459"/>
    <x v="0"/>
    <x v="0"/>
    <x v="5"/>
    <x v="28"/>
    <x v="10"/>
    <x v="11"/>
    <x v="0"/>
    <x v="3"/>
    <x v="1"/>
    <x v="5"/>
    <x v="0"/>
    <x v="0"/>
    <x v="1"/>
    <x v="3"/>
    <x v="1"/>
    <x v="5"/>
    <x v="10"/>
    <x v="0"/>
  </r>
  <r>
    <x v="460"/>
    <x v="1"/>
    <x v="0"/>
    <x v="2"/>
    <x v="6"/>
    <x v="37"/>
    <x v="6"/>
    <x v="0"/>
    <x v="0"/>
    <x v="0"/>
    <x v="5"/>
    <x v="1"/>
    <x v="4"/>
    <x v="2"/>
    <x v="0"/>
    <x v="0"/>
    <x v="5"/>
    <x v="2"/>
    <x v="0"/>
  </r>
  <r>
    <x v="461"/>
    <x v="0"/>
    <x v="1"/>
    <x v="29"/>
    <x v="2"/>
    <x v="2"/>
    <x v="2"/>
    <x v="1"/>
    <x v="2"/>
    <x v="2"/>
    <x v="2"/>
    <x v="1"/>
    <x v="3"/>
    <x v="2"/>
    <x v="2"/>
    <x v="2"/>
    <x v="2"/>
    <x v="2"/>
    <x v="0"/>
  </r>
  <r>
    <x v="462"/>
    <x v="1"/>
    <x v="1"/>
    <x v="15"/>
    <x v="2"/>
    <x v="2"/>
    <x v="2"/>
    <x v="1"/>
    <x v="2"/>
    <x v="2"/>
    <x v="2"/>
    <x v="1"/>
    <x v="3"/>
    <x v="2"/>
    <x v="2"/>
    <x v="2"/>
    <x v="2"/>
    <x v="2"/>
    <x v="0"/>
  </r>
  <r>
    <x v="463"/>
    <x v="3"/>
    <x v="0"/>
    <x v="29"/>
    <x v="17"/>
    <x v="21"/>
    <x v="19"/>
    <x v="0"/>
    <x v="3"/>
    <x v="5"/>
    <x v="5"/>
    <x v="0"/>
    <x v="0"/>
    <x v="25"/>
    <x v="3"/>
    <x v="5"/>
    <x v="5"/>
    <x v="10"/>
    <x v="0"/>
  </r>
  <r>
    <x v="464"/>
    <x v="3"/>
    <x v="2"/>
    <x v="5"/>
    <x v="4"/>
    <x v="10"/>
    <x v="18"/>
    <x v="0"/>
    <x v="0"/>
    <x v="5"/>
    <x v="3"/>
    <x v="0"/>
    <x v="0"/>
    <x v="51"/>
    <x v="0"/>
    <x v="5"/>
    <x v="3"/>
    <x v="8"/>
    <x v="0"/>
  </r>
  <r>
    <x v="465"/>
    <x v="2"/>
    <x v="2"/>
    <x v="23"/>
    <x v="9"/>
    <x v="18"/>
    <x v="0"/>
    <x v="0"/>
    <x v="5"/>
    <x v="3"/>
    <x v="1"/>
    <x v="0"/>
    <x v="0"/>
    <x v="19"/>
    <x v="5"/>
    <x v="3"/>
    <x v="1"/>
    <x v="8"/>
    <x v="0"/>
  </r>
  <r>
    <x v="466"/>
    <x v="3"/>
    <x v="2"/>
    <x v="23"/>
    <x v="31"/>
    <x v="28"/>
    <x v="21"/>
    <x v="0"/>
    <x v="1"/>
    <x v="5"/>
    <x v="0"/>
    <x v="0"/>
    <x v="0"/>
    <x v="19"/>
    <x v="1"/>
    <x v="5"/>
    <x v="0"/>
    <x v="10"/>
    <x v="0"/>
  </r>
  <r>
    <x v="467"/>
    <x v="1"/>
    <x v="0"/>
    <x v="26"/>
    <x v="9"/>
    <x v="8"/>
    <x v="17"/>
    <x v="0"/>
    <x v="4"/>
    <x v="0"/>
    <x v="6"/>
    <x v="0"/>
    <x v="0"/>
    <x v="14"/>
    <x v="4"/>
    <x v="0"/>
    <x v="6"/>
    <x v="10"/>
    <x v="0"/>
  </r>
  <r>
    <x v="468"/>
    <x v="3"/>
    <x v="0"/>
    <x v="6"/>
    <x v="5"/>
    <x v="3"/>
    <x v="5"/>
    <x v="0"/>
    <x v="0"/>
    <x v="4"/>
    <x v="1"/>
    <x v="0"/>
    <x v="0"/>
    <x v="19"/>
    <x v="0"/>
    <x v="4"/>
    <x v="1"/>
    <x v="6"/>
    <x v="0"/>
  </r>
  <r>
    <x v="469"/>
    <x v="2"/>
    <x v="1"/>
    <x v="3"/>
    <x v="2"/>
    <x v="2"/>
    <x v="2"/>
    <x v="1"/>
    <x v="2"/>
    <x v="2"/>
    <x v="2"/>
    <x v="1"/>
    <x v="3"/>
    <x v="2"/>
    <x v="2"/>
    <x v="2"/>
    <x v="2"/>
    <x v="2"/>
    <x v="0"/>
  </r>
  <r>
    <x v="470"/>
    <x v="0"/>
    <x v="0"/>
    <x v="13"/>
    <x v="13"/>
    <x v="30"/>
    <x v="39"/>
    <x v="0"/>
    <x v="3"/>
    <x v="1"/>
    <x v="4"/>
    <x v="0"/>
    <x v="0"/>
    <x v="41"/>
    <x v="3"/>
    <x v="1"/>
    <x v="4"/>
    <x v="11"/>
    <x v="1"/>
  </r>
  <r>
    <x v="471"/>
    <x v="1"/>
    <x v="1"/>
    <x v="11"/>
    <x v="2"/>
    <x v="2"/>
    <x v="2"/>
    <x v="1"/>
    <x v="2"/>
    <x v="2"/>
    <x v="2"/>
    <x v="1"/>
    <x v="4"/>
    <x v="2"/>
    <x v="2"/>
    <x v="2"/>
    <x v="2"/>
    <x v="2"/>
    <x v="0"/>
  </r>
  <r>
    <x v="472"/>
    <x v="0"/>
    <x v="1"/>
    <x v="21"/>
    <x v="2"/>
    <x v="2"/>
    <x v="2"/>
    <x v="1"/>
    <x v="2"/>
    <x v="2"/>
    <x v="2"/>
    <x v="1"/>
    <x v="3"/>
    <x v="2"/>
    <x v="2"/>
    <x v="2"/>
    <x v="2"/>
    <x v="2"/>
    <x v="0"/>
  </r>
  <r>
    <x v="473"/>
    <x v="2"/>
    <x v="0"/>
    <x v="6"/>
    <x v="22"/>
    <x v="16"/>
    <x v="1"/>
    <x v="0"/>
    <x v="1"/>
    <x v="0"/>
    <x v="3"/>
    <x v="0"/>
    <x v="0"/>
    <x v="3"/>
    <x v="1"/>
    <x v="0"/>
    <x v="3"/>
    <x v="1"/>
    <x v="1"/>
  </r>
  <r>
    <x v="474"/>
    <x v="2"/>
    <x v="1"/>
    <x v="9"/>
    <x v="2"/>
    <x v="2"/>
    <x v="2"/>
    <x v="1"/>
    <x v="2"/>
    <x v="2"/>
    <x v="2"/>
    <x v="1"/>
    <x v="5"/>
    <x v="2"/>
    <x v="2"/>
    <x v="2"/>
    <x v="2"/>
    <x v="2"/>
    <x v="0"/>
  </r>
  <r>
    <x v="475"/>
    <x v="2"/>
    <x v="0"/>
    <x v="1"/>
    <x v="19"/>
    <x v="25"/>
    <x v="32"/>
    <x v="0"/>
    <x v="4"/>
    <x v="0"/>
    <x v="0"/>
    <x v="1"/>
    <x v="1"/>
    <x v="2"/>
    <x v="4"/>
    <x v="0"/>
    <x v="0"/>
    <x v="2"/>
    <x v="0"/>
  </r>
  <r>
    <x v="476"/>
    <x v="0"/>
    <x v="2"/>
    <x v="21"/>
    <x v="22"/>
    <x v="28"/>
    <x v="21"/>
    <x v="0"/>
    <x v="3"/>
    <x v="1"/>
    <x v="0"/>
    <x v="0"/>
    <x v="0"/>
    <x v="17"/>
    <x v="3"/>
    <x v="1"/>
    <x v="0"/>
    <x v="0"/>
    <x v="0"/>
  </r>
  <r>
    <x v="477"/>
    <x v="0"/>
    <x v="0"/>
    <x v="22"/>
    <x v="28"/>
    <x v="10"/>
    <x v="35"/>
    <x v="0"/>
    <x v="1"/>
    <x v="1"/>
    <x v="4"/>
    <x v="1"/>
    <x v="1"/>
    <x v="2"/>
    <x v="1"/>
    <x v="1"/>
    <x v="4"/>
    <x v="2"/>
    <x v="0"/>
  </r>
  <r>
    <x v="478"/>
    <x v="0"/>
    <x v="0"/>
    <x v="21"/>
    <x v="22"/>
    <x v="3"/>
    <x v="3"/>
    <x v="0"/>
    <x v="3"/>
    <x v="5"/>
    <x v="3"/>
    <x v="0"/>
    <x v="0"/>
    <x v="14"/>
    <x v="3"/>
    <x v="5"/>
    <x v="3"/>
    <x v="11"/>
    <x v="1"/>
  </r>
  <r>
    <x v="479"/>
    <x v="0"/>
    <x v="0"/>
    <x v="27"/>
    <x v="24"/>
    <x v="6"/>
    <x v="29"/>
    <x v="0"/>
    <x v="1"/>
    <x v="0"/>
    <x v="0"/>
    <x v="1"/>
    <x v="2"/>
    <x v="2"/>
    <x v="1"/>
    <x v="0"/>
    <x v="0"/>
    <x v="2"/>
    <x v="0"/>
  </r>
  <r>
    <x v="480"/>
    <x v="2"/>
    <x v="0"/>
    <x v="11"/>
    <x v="7"/>
    <x v="1"/>
    <x v="1"/>
    <x v="0"/>
    <x v="4"/>
    <x v="5"/>
    <x v="1"/>
    <x v="0"/>
    <x v="0"/>
    <x v="18"/>
    <x v="4"/>
    <x v="5"/>
    <x v="1"/>
    <x v="0"/>
    <x v="0"/>
  </r>
  <r>
    <x v="481"/>
    <x v="2"/>
    <x v="0"/>
    <x v="20"/>
    <x v="10"/>
    <x v="4"/>
    <x v="8"/>
    <x v="0"/>
    <x v="4"/>
    <x v="3"/>
    <x v="5"/>
    <x v="0"/>
    <x v="0"/>
    <x v="27"/>
    <x v="4"/>
    <x v="3"/>
    <x v="5"/>
    <x v="1"/>
    <x v="1"/>
  </r>
  <r>
    <x v="482"/>
    <x v="1"/>
    <x v="0"/>
    <x v="1"/>
    <x v="20"/>
    <x v="23"/>
    <x v="14"/>
    <x v="0"/>
    <x v="3"/>
    <x v="5"/>
    <x v="4"/>
    <x v="0"/>
    <x v="0"/>
    <x v="33"/>
    <x v="3"/>
    <x v="5"/>
    <x v="4"/>
    <x v="7"/>
    <x v="0"/>
  </r>
  <r>
    <x v="483"/>
    <x v="1"/>
    <x v="0"/>
    <x v="3"/>
    <x v="4"/>
    <x v="22"/>
    <x v="23"/>
    <x v="0"/>
    <x v="1"/>
    <x v="3"/>
    <x v="5"/>
    <x v="0"/>
    <x v="0"/>
    <x v="43"/>
    <x v="1"/>
    <x v="3"/>
    <x v="5"/>
    <x v="7"/>
    <x v="0"/>
  </r>
  <r>
    <x v="484"/>
    <x v="0"/>
    <x v="0"/>
    <x v="28"/>
    <x v="17"/>
    <x v="14"/>
    <x v="25"/>
    <x v="0"/>
    <x v="0"/>
    <x v="4"/>
    <x v="4"/>
    <x v="0"/>
    <x v="0"/>
    <x v="22"/>
    <x v="0"/>
    <x v="4"/>
    <x v="4"/>
    <x v="5"/>
    <x v="0"/>
  </r>
  <r>
    <x v="485"/>
    <x v="3"/>
    <x v="0"/>
    <x v="12"/>
    <x v="0"/>
    <x v="0"/>
    <x v="26"/>
    <x v="0"/>
    <x v="4"/>
    <x v="0"/>
    <x v="6"/>
    <x v="1"/>
    <x v="2"/>
    <x v="2"/>
    <x v="4"/>
    <x v="0"/>
    <x v="6"/>
    <x v="2"/>
    <x v="0"/>
  </r>
  <r>
    <x v="486"/>
    <x v="3"/>
    <x v="0"/>
    <x v="24"/>
    <x v="20"/>
    <x v="17"/>
    <x v="19"/>
    <x v="0"/>
    <x v="0"/>
    <x v="3"/>
    <x v="6"/>
    <x v="0"/>
    <x v="0"/>
    <x v="3"/>
    <x v="0"/>
    <x v="3"/>
    <x v="6"/>
    <x v="3"/>
    <x v="2"/>
  </r>
  <r>
    <x v="487"/>
    <x v="2"/>
    <x v="2"/>
    <x v="23"/>
    <x v="18"/>
    <x v="28"/>
    <x v="33"/>
    <x v="0"/>
    <x v="0"/>
    <x v="4"/>
    <x v="3"/>
    <x v="0"/>
    <x v="0"/>
    <x v="1"/>
    <x v="0"/>
    <x v="4"/>
    <x v="3"/>
    <x v="8"/>
    <x v="0"/>
  </r>
  <r>
    <x v="488"/>
    <x v="2"/>
    <x v="0"/>
    <x v="27"/>
    <x v="3"/>
    <x v="16"/>
    <x v="5"/>
    <x v="0"/>
    <x v="5"/>
    <x v="1"/>
    <x v="0"/>
    <x v="0"/>
    <x v="0"/>
    <x v="12"/>
    <x v="5"/>
    <x v="1"/>
    <x v="0"/>
    <x v="7"/>
    <x v="0"/>
  </r>
  <r>
    <x v="489"/>
    <x v="2"/>
    <x v="2"/>
    <x v="24"/>
    <x v="27"/>
    <x v="30"/>
    <x v="16"/>
    <x v="0"/>
    <x v="3"/>
    <x v="5"/>
    <x v="5"/>
    <x v="0"/>
    <x v="0"/>
    <x v="42"/>
    <x v="3"/>
    <x v="5"/>
    <x v="5"/>
    <x v="0"/>
    <x v="0"/>
  </r>
  <r>
    <x v="490"/>
    <x v="1"/>
    <x v="0"/>
    <x v="3"/>
    <x v="23"/>
    <x v="15"/>
    <x v="35"/>
    <x v="0"/>
    <x v="3"/>
    <x v="4"/>
    <x v="0"/>
    <x v="0"/>
    <x v="0"/>
    <x v="14"/>
    <x v="3"/>
    <x v="4"/>
    <x v="0"/>
    <x v="3"/>
    <x v="2"/>
  </r>
  <r>
    <x v="491"/>
    <x v="1"/>
    <x v="0"/>
    <x v="22"/>
    <x v="25"/>
    <x v="0"/>
    <x v="26"/>
    <x v="0"/>
    <x v="3"/>
    <x v="3"/>
    <x v="6"/>
    <x v="1"/>
    <x v="1"/>
    <x v="2"/>
    <x v="3"/>
    <x v="3"/>
    <x v="6"/>
    <x v="2"/>
    <x v="0"/>
  </r>
  <r>
    <x v="492"/>
    <x v="2"/>
    <x v="0"/>
    <x v="4"/>
    <x v="7"/>
    <x v="3"/>
    <x v="33"/>
    <x v="0"/>
    <x v="1"/>
    <x v="0"/>
    <x v="5"/>
    <x v="0"/>
    <x v="0"/>
    <x v="18"/>
    <x v="1"/>
    <x v="0"/>
    <x v="5"/>
    <x v="9"/>
    <x v="0"/>
  </r>
  <r>
    <x v="493"/>
    <x v="2"/>
    <x v="0"/>
    <x v="30"/>
    <x v="26"/>
    <x v="37"/>
    <x v="14"/>
    <x v="0"/>
    <x v="4"/>
    <x v="1"/>
    <x v="1"/>
    <x v="0"/>
    <x v="0"/>
    <x v="15"/>
    <x v="4"/>
    <x v="1"/>
    <x v="1"/>
    <x v="10"/>
    <x v="0"/>
  </r>
  <r>
    <x v="494"/>
    <x v="2"/>
    <x v="1"/>
    <x v="1"/>
    <x v="2"/>
    <x v="2"/>
    <x v="2"/>
    <x v="1"/>
    <x v="2"/>
    <x v="2"/>
    <x v="2"/>
    <x v="1"/>
    <x v="5"/>
    <x v="2"/>
    <x v="2"/>
    <x v="2"/>
    <x v="2"/>
    <x v="2"/>
    <x v="0"/>
  </r>
  <r>
    <x v="495"/>
    <x v="3"/>
    <x v="1"/>
    <x v="15"/>
    <x v="2"/>
    <x v="2"/>
    <x v="2"/>
    <x v="1"/>
    <x v="2"/>
    <x v="2"/>
    <x v="2"/>
    <x v="1"/>
    <x v="4"/>
    <x v="2"/>
    <x v="2"/>
    <x v="2"/>
    <x v="2"/>
    <x v="2"/>
    <x v="0"/>
  </r>
  <r>
    <x v="496"/>
    <x v="1"/>
    <x v="1"/>
    <x v="6"/>
    <x v="2"/>
    <x v="2"/>
    <x v="2"/>
    <x v="1"/>
    <x v="2"/>
    <x v="2"/>
    <x v="2"/>
    <x v="1"/>
    <x v="4"/>
    <x v="2"/>
    <x v="2"/>
    <x v="2"/>
    <x v="2"/>
    <x v="2"/>
    <x v="0"/>
  </r>
  <r>
    <x v="497"/>
    <x v="3"/>
    <x v="1"/>
    <x v="12"/>
    <x v="2"/>
    <x v="2"/>
    <x v="2"/>
    <x v="1"/>
    <x v="2"/>
    <x v="2"/>
    <x v="2"/>
    <x v="1"/>
    <x v="5"/>
    <x v="2"/>
    <x v="2"/>
    <x v="2"/>
    <x v="2"/>
    <x v="2"/>
    <x v="0"/>
  </r>
  <r>
    <x v="498"/>
    <x v="3"/>
    <x v="2"/>
    <x v="20"/>
    <x v="10"/>
    <x v="9"/>
    <x v="23"/>
    <x v="0"/>
    <x v="4"/>
    <x v="1"/>
    <x v="3"/>
    <x v="0"/>
    <x v="0"/>
    <x v="6"/>
    <x v="4"/>
    <x v="1"/>
    <x v="3"/>
    <x v="1"/>
    <x v="1"/>
  </r>
  <r>
    <x v="499"/>
    <x v="2"/>
    <x v="2"/>
    <x v="19"/>
    <x v="4"/>
    <x v="12"/>
    <x v="13"/>
    <x v="0"/>
    <x v="5"/>
    <x v="4"/>
    <x v="0"/>
    <x v="0"/>
    <x v="0"/>
    <x v="27"/>
    <x v="5"/>
    <x v="4"/>
    <x v="0"/>
    <x v="11"/>
    <x v="1"/>
  </r>
  <r>
    <x v="500"/>
    <x v="2"/>
    <x v="0"/>
    <x v="27"/>
    <x v="3"/>
    <x v="1"/>
    <x v="12"/>
    <x v="0"/>
    <x v="5"/>
    <x v="4"/>
    <x v="4"/>
    <x v="0"/>
    <x v="0"/>
    <x v="12"/>
    <x v="5"/>
    <x v="4"/>
    <x v="4"/>
    <x v="3"/>
    <x v="2"/>
  </r>
  <r>
    <x v="501"/>
    <x v="0"/>
    <x v="2"/>
    <x v="27"/>
    <x v="3"/>
    <x v="6"/>
    <x v="32"/>
    <x v="0"/>
    <x v="5"/>
    <x v="5"/>
    <x v="4"/>
    <x v="0"/>
    <x v="0"/>
    <x v="20"/>
    <x v="5"/>
    <x v="5"/>
    <x v="4"/>
    <x v="8"/>
    <x v="0"/>
  </r>
  <r>
    <x v="502"/>
    <x v="0"/>
    <x v="0"/>
    <x v="26"/>
    <x v="25"/>
    <x v="31"/>
    <x v="13"/>
    <x v="0"/>
    <x v="0"/>
    <x v="1"/>
    <x v="5"/>
    <x v="0"/>
    <x v="0"/>
    <x v="31"/>
    <x v="0"/>
    <x v="1"/>
    <x v="5"/>
    <x v="7"/>
    <x v="0"/>
  </r>
  <r>
    <x v="503"/>
    <x v="3"/>
    <x v="0"/>
    <x v="19"/>
    <x v="12"/>
    <x v="12"/>
    <x v="0"/>
    <x v="0"/>
    <x v="3"/>
    <x v="1"/>
    <x v="4"/>
    <x v="0"/>
    <x v="0"/>
    <x v="0"/>
    <x v="3"/>
    <x v="1"/>
    <x v="4"/>
    <x v="4"/>
    <x v="2"/>
  </r>
  <r>
    <x v="504"/>
    <x v="1"/>
    <x v="0"/>
    <x v="5"/>
    <x v="11"/>
    <x v="12"/>
    <x v="0"/>
    <x v="0"/>
    <x v="1"/>
    <x v="5"/>
    <x v="4"/>
    <x v="0"/>
    <x v="0"/>
    <x v="27"/>
    <x v="1"/>
    <x v="5"/>
    <x v="4"/>
    <x v="10"/>
    <x v="0"/>
  </r>
  <r>
    <x v="505"/>
    <x v="2"/>
    <x v="0"/>
    <x v="0"/>
    <x v="18"/>
    <x v="18"/>
    <x v="24"/>
    <x v="0"/>
    <x v="4"/>
    <x v="0"/>
    <x v="6"/>
    <x v="0"/>
    <x v="0"/>
    <x v="43"/>
    <x v="4"/>
    <x v="0"/>
    <x v="6"/>
    <x v="4"/>
    <x v="2"/>
  </r>
  <r>
    <x v="506"/>
    <x v="2"/>
    <x v="0"/>
    <x v="13"/>
    <x v="30"/>
    <x v="13"/>
    <x v="39"/>
    <x v="0"/>
    <x v="1"/>
    <x v="5"/>
    <x v="3"/>
    <x v="0"/>
    <x v="0"/>
    <x v="39"/>
    <x v="1"/>
    <x v="5"/>
    <x v="3"/>
    <x v="7"/>
    <x v="0"/>
  </r>
  <r>
    <x v="507"/>
    <x v="3"/>
    <x v="0"/>
    <x v="6"/>
    <x v="7"/>
    <x v="6"/>
    <x v="32"/>
    <x v="0"/>
    <x v="3"/>
    <x v="3"/>
    <x v="4"/>
    <x v="0"/>
    <x v="0"/>
    <x v="3"/>
    <x v="3"/>
    <x v="3"/>
    <x v="4"/>
    <x v="7"/>
    <x v="0"/>
  </r>
  <r>
    <x v="508"/>
    <x v="0"/>
    <x v="1"/>
    <x v="8"/>
    <x v="2"/>
    <x v="2"/>
    <x v="2"/>
    <x v="1"/>
    <x v="2"/>
    <x v="2"/>
    <x v="2"/>
    <x v="1"/>
    <x v="4"/>
    <x v="2"/>
    <x v="2"/>
    <x v="2"/>
    <x v="2"/>
    <x v="2"/>
    <x v="0"/>
  </r>
  <r>
    <x v="509"/>
    <x v="1"/>
    <x v="0"/>
    <x v="30"/>
    <x v="33"/>
    <x v="29"/>
    <x v="30"/>
    <x v="0"/>
    <x v="3"/>
    <x v="3"/>
    <x v="4"/>
    <x v="0"/>
    <x v="0"/>
    <x v="28"/>
    <x v="3"/>
    <x v="3"/>
    <x v="4"/>
    <x v="11"/>
    <x v="1"/>
  </r>
  <r>
    <x v="510"/>
    <x v="0"/>
    <x v="1"/>
    <x v="13"/>
    <x v="2"/>
    <x v="2"/>
    <x v="2"/>
    <x v="1"/>
    <x v="2"/>
    <x v="2"/>
    <x v="2"/>
    <x v="1"/>
    <x v="3"/>
    <x v="2"/>
    <x v="2"/>
    <x v="2"/>
    <x v="2"/>
    <x v="2"/>
    <x v="0"/>
  </r>
  <r>
    <x v="511"/>
    <x v="0"/>
    <x v="2"/>
    <x v="16"/>
    <x v="22"/>
    <x v="6"/>
    <x v="29"/>
    <x v="0"/>
    <x v="4"/>
    <x v="4"/>
    <x v="0"/>
    <x v="0"/>
    <x v="0"/>
    <x v="3"/>
    <x v="4"/>
    <x v="4"/>
    <x v="0"/>
    <x v="11"/>
    <x v="1"/>
  </r>
  <r>
    <x v="512"/>
    <x v="0"/>
    <x v="1"/>
    <x v="8"/>
    <x v="2"/>
    <x v="2"/>
    <x v="2"/>
    <x v="1"/>
    <x v="2"/>
    <x v="2"/>
    <x v="2"/>
    <x v="1"/>
    <x v="1"/>
    <x v="2"/>
    <x v="2"/>
    <x v="2"/>
    <x v="2"/>
    <x v="2"/>
    <x v="0"/>
  </r>
  <r>
    <x v="513"/>
    <x v="0"/>
    <x v="0"/>
    <x v="23"/>
    <x v="18"/>
    <x v="27"/>
    <x v="24"/>
    <x v="0"/>
    <x v="0"/>
    <x v="5"/>
    <x v="5"/>
    <x v="0"/>
    <x v="0"/>
    <x v="3"/>
    <x v="0"/>
    <x v="5"/>
    <x v="5"/>
    <x v="9"/>
    <x v="0"/>
  </r>
  <r>
    <x v="514"/>
    <x v="2"/>
    <x v="0"/>
    <x v="1"/>
    <x v="24"/>
    <x v="11"/>
    <x v="32"/>
    <x v="0"/>
    <x v="5"/>
    <x v="5"/>
    <x v="6"/>
    <x v="0"/>
    <x v="0"/>
    <x v="5"/>
    <x v="5"/>
    <x v="5"/>
    <x v="6"/>
    <x v="7"/>
    <x v="0"/>
  </r>
  <r>
    <x v="515"/>
    <x v="2"/>
    <x v="2"/>
    <x v="3"/>
    <x v="10"/>
    <x v="10"/>
    <x v="23"/>
    <x v="0"/>
    <x v="0"/>
    <x v="4"/>
    <x v="1"/>
    <x v="1"/>
    <x v="1"/>
    <x v="2"/>
    <x v="0"/>
    <x v="4"/>
    <x v="1"/>
    <x v="2"/>
    <x v="0"/>
  </r>
  <r>
    <x v="516"/>
    <x v="0"/>
    <x v="0"/>
    <x v="7"/>
    <x v="6"/>
    <x v="37"/>
    <x v="14"/>
    <x v="0"/>
    <x v="3"/>
    <x v="0"/>
    <x v="1"/>
    <x v="0"/>
    <x v="0"/>
    <x v="9"/>
    <x v="3"/>
    <x v="0"/>
    <x v="1"/>
    <x v="0"/>
    <x v="0"/>
  </r>
  <r>
    <x v="517"/>
    <x v="1"/>
    <x v="2"/>
    <x v="3"/>
    <x v="23"/>
    <x v="31"/>
    <x v="13"/>
    <x v="0"/>
    <x v="3"/>
    <x v="5"/>
    <x v="5"/>
    <x v="0"/>
    <x v="0"/>
    <x v="0"/>
    <x v="3"/>
    <x v="5"/>
    <x v="5"/>
    <x v="10"/>
    <x v="0"/>
  </r>
  <r>
    <x v="518"/>
    <x v="3"/>
    <x v="2"/>
    <x v="3"/>
    <x v="10"/>
    <x v="9"/>
    <x v="37"/>
    <x v="0"/>
    <x v="0"/>
    <x v="1"/>
    <x v="0"/>
    <x v="0"/>
    <x v="0"/>
    <x v="1"/>
    <x v="0"/>
    <x v="1"/>
    <x v="0"/>
    <x v="4"/>
    <x v="2"/>
  </r>
  <r>
    <x v="519"/>
    <x v="1"/>
    <x v="0"/>
    <x v="11"/>
    <x v="5"/>
    <x v="24"/>
    <x v="33"/>
    <x v="0"/>
    <x v="5"/>
    <x v="5"/>
    <x v="0"/>
    <x v="0"/>
    <x v="0"/>
    <x v="11"/>
    <x v="5"/>
    <x v="5"/>
    <x v="0"/>
    <x v="5"/>
    <x v="0"/>
  </r>
  <r>
    <x v="520"/>
    <x v="1"/>
    <x v="0"/>
    <x v="7"/>
    <x v="27"/>
    <x v="21"/>
    <x v="22"/>
    <x v="0"/>
    <x v="5"/>
    <x v="0"/>
    <x v="1"/>
    <x v="0"/>
    <x v="0"/>
    <x v="14"/>
    <x v="5"/>
    <x v="0"/>
    <x v="1"/>
    <x v="11"/>
    <x v="1"/>
  </r>
  <r>
    <x v="521"/>
    <x v="1"/>
    <x v="0"/>
    <x v="16"/>
    <x v="3"/>
    <x v="6"/>
    <x v="29"/>
    <x v="0"/>
    <x v="3"/>
    <x v="5"/>
    <x v="0"/>
    <x v="0"/>
    <x v="0"/>
    <x v="5"/>
    <x v="3"/>
    <x v="5"/>
    <x v="0"/>
    <x v="8"/>
    <x v="0"/>
  </r>
  <r>
    <x v="522"/>
    <x v="0"/>
    <x v="1"/>
    <x v="20"/>
    <x v="2"/>
    <x v="2"/>
    <x v="2"/>
    <x v="1"/>
    <x v="2"/>
    <x v="2"/>
    <x v="2"/>
    <x v="1"/>
    <x v="5"/>
    <x v="2"/>
    <x v="2"/>
    <x v="2"/>
    <x v="2"/>
    <x v="2"/>
    <x v="0"/>
  </r>
  <r>
    <x v="523"/>
    <x v="2"/>
    <x v="0"/>
    <x v="11"/>
    <x v="5"/>
    <x v="27"/>
    <x v="33"/>
    <x v="0"/>
    <x v="5"/>
    <x v="1"/>
    <x v="4"/>
    <x v="0"/>
    <x v="0"/>
    <x v="19"/>
    <x v="5"/>
    <x v="1"/>
    <x v="4"/>
    <x v="8"/>
    <x v="0"/>
  </r>
  <r>
    <x v="524"/>
    <x v="1"/>
    <x v="0"/>
    <x v="2"/>
    <x v="13"/>
    <x v="37"/>
    <x v="14"/>
    <x v="0"/>
    <x v="5"/>
    <x v="3"/>
    <x v="1"/>
    <x v="0"/>
    <x v="0"/>
    <x v="20"/>
    <x v="5"/>
    <x v="3"/>
    <x v="1"/>
    <x v="1"/>
    <x v="1"/>
  </r>
  <r>
    <x v="525"/>
    <x v="0"/>
    <x v="2"/>
    <x v="15"/>
    <x v="25"/>
    <x v="0"/>
    <x v="35"/>
    <x v="0"/>
    <x v="4"/>
    <x v="3"/>
    <x v="5"/>
    <x v="0"/>
    <x v="0"/>
    <x v="31"/>
    <x v="4"/>
    <x v="3"/>
    <x v="5"/>
    <x v="1"/>
    <x v="1"/>
  </r>
  <r>
    <x v="526"/>
    <x v="1"/>
    <x v="0"/>
    <x v="13"/>
    <x v="15"/>
    <x v="30"/>
    <x v="16"/>
    <x v="0"/>
    <x v="4"/>
    <x v="0"/>
    <x v="5"/>
    <x v="0"/>
    <x v="0"/>
    <x v="15"/>
    <x v="4"/>
    <x v="0"/>
    <x v="5"/>
    <x v="5"/>
    <x v="0"/>
  </r>
  <r>
    <x v="527"/>
    <x v="1"/>
    <x v="0"/>
    <x v="4"/>
    <x v="7"/>
    <x v="3"/>
    <x v="33"/>
    <x v="0"/>
    <x v="1"/>
    <x v="0"/>
    <x v="5"/>
    <x v="0"/>
    <x v="0"/>
    <x v="25"/>
    <x v="1"/>
    <x v="0"/>
    <x v="5"/>
    <x v="8"/>
    <x v="0"/>
  </r>
  <r>
    <x v="528"/>
    <x v="0"/>
    <x v="1"/>
    <x v="3"/>
    <x v="2"/>
    <x v="2"/>
    <x v="2"/>
    <x v="1"/>
    <x v="2"/>
    <x v="2"/>
    <x v="2"/>
    <x v="1"/>
    <x v="4"/>
    <x v="2"/>
    <x v="2"/>
    <x v="2"/>
    <x v="2"/>
    <x v="2"/>
    <x v="0"/>
  </r>
  <r>
    <x v="529"/>
    <x v="2"/>
    <x v="1"/>
    <x v="0"/>
    <x v="2"/>
    <x v="2"/>
    <x v="2"/>
    <x v="1"/>
    <x v="2"/>
    <x v="2"/>
    <x v="2"/>
    <x v="1"/>
    <x v="2"/>
    <x v="2"/>
    <x v="2"/>
    <x v="2"/>
    <x v="2"/>
    <x v="2"/>
    <x v="0"/>
  </r>
  <r>
    <x v="530"/>
    <x v="2"/>
    <x v="0"/>
    <x v="13"/>
    <x v="27"/>
    <x v="23"/>
    <x v="16"/>
    <x v="0"/>
    <x v="0"/>
    <x v="1"/>
    <x v="3"/>
    <x v="0"/>
    <x v="0"/>
    <x v="42"/>
    <x v="0"/>
    <x v="1"/>
    <x v="3"/>
    <x v="0"/>
    <x v="0"/>
  </r>
  <r>
    <x v="531"/>
    <x v="3"/>
    <x v="2"/>
    <x v="25"/>
    <x v="26"/>
    <x v="36"/>
    <x v="43"/>
    <x v="0"/>
    <x v="3"/>
    <x v="3"/>
    <x v="6"/>
    <x v="0"/>
    <x v="0"/>
    <x v="39"/>
    <x v="3"/>
    <x v="3"/>
    <x v="6"/>
    <x v="0"/>
    <x v="0"/>
  </r>
  <r>
    <x v="532"/>
    <x v="0"/>
    <x v="1"/>
    <x v="6"/>
    <x v="2"/>
    <x v="2"/>
    <x v="2"/>
    <x v="1"/>
    <x v="2"/>
    <x v="2"/>
    <x v="2"/>
    <x v="1"/>
    <x v="2"/>
    <x v="2"/>
    <x v="2"/>
    <x v="2"/>
    <x v="2"/>
    <x v="2"/>
    <x v="0"/>
  </r>
  <r>
    <x v="533"/>
    <x v="3"/>
    <x v="0"/>
    <x v="19"/>
    <x v="4"/>
    <x v="22"/>
    <x v="18"/>
    <x v="0"/>
    <x v="5"/>
    <x v="3"/>
    <x v="4"/>
    <x v="0"/>
    <x v="0"/>
    <x v="27"/>
    <x v="5"/>
    <x v="3"/>
    <x v="4"/>
    <x v="10"/>
    <x v="0"/>
  </r>
  <r>
    <x v="534"/>
    <x v="3"/>
    <x v="2"/>
    <x v="17"/>
    <x v="20"/>
    <x v="17"/>
    <x v="19"/>
    <x v="0"/>
    <x v="1"/>
    <x v="3"/>
    <x v="6"/>
    <x v="0"/>
    <x v="0"/>
    <x v="29"/>
    <x v="1"/>
    <x v="3"/>
    <x v="6"/>
    <x v="6"/>
    <x v="0"/>
  </r>
  <r>
    <x v="535"/>
    <x v="3"/>
    <x v="2"/>
    <x v="1"/>
    <x v="19"/>
    <x v="20"/>
    <x v="27"/>
    <x v="0"/>
    <x v="4"/>
    <x v="3"/>
    <x v="4"/>
    <x v="1"/>
    <x v="4"/>
    <x v="2"/>
    <x v="4"/>
    <x v="3"/>
    <x v="4"/>
    <x v="2"/>
    <x v="0"/>
  </r>
  <r>
    <x v="536"/>
    <x v="2"/>
    <x v="0"/>
    <x v="18"/>
    <x v="0"/>
    <x v="15"/>
    <x v="18"/>
    <x v="0"/>
    <x v="5"/>
    <x v="1"/>
    <x v="5"/>
    <x v="0"/>
    <x v="0"/>
    <x v="20"/>
    <x v="5"/>
    <x v="1"/>
    <x v="5"/>
    <x v="6"/>
    <x v="0"/>
  </r>
  <r>
    <x v="537"/>
    <x v="0"/>
    <x v="2"/>
    <x v="12"/>
    <x v="12"/>
    <x v="31"/>
    <x v="0"/>
    <x v="0"/>
    <x v="0"/>
    <x v="0"/>
    <x v="3"/>
    <x v="0"/>
    <x v="0"/>
    <x v="0"/>
    <x v="0"/>
    <x v="0"/>
    <x v="3"/>
    <x v="9"/>
    <x v="0"/>
  </r>
  <r>
    <x v="538"/>
    <x v="3"/>
    <x v="1"/>
    <x v="27"/>
    <x v="2"/>
    <x v="2"/>
    <x v="2"/>
    <x v="1"/>
    <x v="2"/>
    <x v="2"/>
    <x v="2"/>
    <x v="1"/>
    <x v="2"/>
    <x v="2"/>
    <x v="2"/>
    <x v="2"/>
    <x v="2"/>
    <x v="2"/>
    <x v="0"/>
  </r>
  <r>
    <x v="539"/>
    <x v="0"/>
    <x v="0"/>
    <x v="0"/>
    <x v="18"/>
    <x v="18"/>
    <x v="9"/>
    <x v="0"/>
    <x v="4"/>
    <x v="0"/>
    <x v="3"/>
    <x v="1"/>
    <x v="5"/>
    <x v="2"/>
    <x v="4"/>
    <x v="0"/>
    <x v="3"/>
    <x v="2"/>
    <x v="0"/>
  </r>
  <r>
    <x v="540"/>
    <x v="0"/>
    <x v="2"/>
    <x v="25"/>
    <x v="26"/>
    <x v="32"/>
    <x v="43"/>
    <x v="0"/>
    <x v="3"/>
    <x v="4"/>
    <x v="5"/>
    <x v="0"/>
    <x v="0"/>
    <x v="36"/>
    <x v="3"/>
    <x v="4"/>
    <x v="5"/>
    <x v="3"/>
    <x v="2"/>
  </r>
  <r>
    <x v="541"/>
    <x v="2"/>
    <x v="1"/>
    <x v="3"/>
    <x v="2"/>
    <x v="2"/>
    <x v="2"/>
    <x v="1"/>
    <x v="2"/>
    <x v="2"/>
    <x v="2"/>
    <x v="1"/>
    <x v="5"/>
    <x v="2"/>
    <x v="2"/>
    <x v="2"/>
    <x v="2"/>
    <x v="2"/>
    <x v="0"/>
  </r>
  <r>
    <x v="542"/>
    <x v="3"/>
    <x v="0"/>
    <x v="1"/>
    <x v="24"/>
    <x v="6"/>
    <x v="3"/>
    <x v="0"/>
    <x v="5"/>
    <x v="0"/>
    <x v="6"/>
    <x v="0"/>
    <x v="0"/>
    <x v="8"/>
    <x v="5"/>
    <x v="0"/>
    <x v="6"/>
    <x v="3"/>
    <x v="2"/>
  </r>
  <r>
    <x v="543"/>
    <x v="3"/>
    <x v="0"/>
    <x v="3"/>
    <x v="4"/>
    <x v="22"/>
    <x v="11"/>
    <x v="0"/>
    <x v="1"/>
    <x v="3"/>
    <x v="0"/>
    <x v="0"/>
    <x v="0"/>
    <x v="8"/>
    <x v="1"/>
    <x v="3"/>
    <x v="0"/>
    <x v="8"/>
    <x v="0"/>
  </r>
  <r>
    <x v="544"/>
    <x v="0"/>
    <x v="2"/>
    <x v="26"/>
    <x v="18"/>
    <x v="27"/>
    <x v="24"/>
    <x v="0"/>
    <x v="3"/>
    <x v="5"/>
    <x v="5"/>
    <x v="0"/>
    <x v="0"/>
    <x v="21"/>
    <x v="3"/>
    <x v="5"/>
    <x v="5"/>
    <x v="10"/>
    <x v="0"/>
  </r>
  <r>
    <x v="545"/>
    <x v="1"/>
    <x v="2"/>
    <x v="3"/>
    <x v="34"/>
    <x v="7"/>
    <x v="40"/>
    <x v="0"/>
    <x v="5"/>
    <x v="3"/>
    <x v="1"/>
    <x v="0"/>
    <x v="0"/>
    <x v="1"/>
    <x v="5"/>
    <x v="3"/>
    <x v="1"/>
    <x v="5"/>
    <x v="0"/>
  </r>
  <r>
    <x v="546"/>
    <x v="2"/>
    <x v="0"/>
    <x v="21"/>
    <x v="18"/>
    <x v="26"/>
    <x v="26"/>
    <x v="0"/>
    <x v="5"/>
    <x v="3"/>
    <x v="1"/>
    <x v="0"/>
    <x v="0"/>
    <x v="12"/>
    <x v="5"/>
    <x v="3"/>
    <x v="1"/>
    <x v="9"/>
    <x v="0"/>
  </r>
  <r>
    <x v="547"/>
    <x v="2"/>
    <x v="0"/>
    <x v="27"/>
    <x v="3"/>
    <x v="24"/>
    <x v="21"/>
    <x v="0"/>
    <x v="5"/>
    <x v="0"/>
    <x v="1"/>
    <x v="0"/>
    <x v="0"/>
    <x v="42"/>
    <x v="5"/>
    <x v="0"/>
    <x v="1"/>
    <x v="8"/>
    <x v="0"/>
  </r>
  <r>
    <x v="548"/>
    <x v="2"/>
    <x v="0"/>
    <x v="8"/>
    <x v="32"/>
    <x v="9"/>
    <x v="10"/>
    <x v="0"/>
    <x v="5"/>
    <x v="4"/>
    <x v="1"/>
    <x v="0"/>
    <x v="0"/>
    <x v="48"/>
    <x v="5"/>
    <x v="4"/>
    <x v="1"/>
    <x v="5"/>
    <x v="0"/>
  </r>
  <r>
    <x v="549"/>
    <x v="2"/>
    <x v="0"/>
    <x v="1"/>
    <x v="24"/>
    <x v="3"/>
    <x v="15"/>
    <x v="0"/>
    <x v="5"/>
    <x v="1"/>
    <x v="4"/>
    <x v="0"/>
    <x v="0"/>
    <x v="11"/>
    <x v="5"/>
    <x v="1"/>
    <x v="4"/>
    <x v="7"/>
    <x v="0"/>
  </r>
  <r>
    <x v="550"/>
    <x v="3"/>
    <x v="0"/>
    <x v="0"/>
    <x v="31"/>
    <x v="28"/>
    <x v="5"/>
    <x v="0"/>
    <x v="3"/>
    <x v="5"/>
    <x v="6"/>
    <x v="0"/>
    <x v="0"/>
    <x v="43"/>
    <x v="3"/>
    <x v="5"/>
    <x v="6"/>
    <x v="9"/>
    <x v="0"/>
  </r>
  <r>
    <x v="551"/>
    <x v="3"/>
    <x v="2"/>
    <x v="12"/>
    <x v="12"/>
    <x v="0"/>
    <x v="18"/>
    <x v="0"/>
    <x v="0"/>
    <x v="5"/>
    <x v="1"/>
    <x v="0"/>
    <x v="0"/>
    <x v="8"/>
    <x v="0"/>
    <x v="5"/>
    <x v="1"/>
    <x v="9"/>
    <x v="0"/>
  </r>
  <r>
    <x v="552"/>
    <x v="1"/>
    <x v="0"/>
    <x v="10"/>
    <x v="34"/>
    <x v="22"/>
    <x v="11"/>
    <x v="0"/>
    <x v="0"/>
    <x v="4"/>
    <x v="0"/>
    <x v="0"/>
    <x v="0"/>
    <x v="27"/>
    <x v="0"/>
    <x v="4"/>
    <x v="0"/>
    <x v="3"/>
    <x v="2"/>
  </r>
  <r>
    <x v="553"/>
    <x v="2"/>
    <x v="1"/>
    <x v="22"/>
    <x v="2"/>
    <x v="2"/>
    <x v="2"/>
    <x v="1"/>
    <x v="2"/>
    <x v="2"/>
    <x v="2"/>
    <x v="1"/>
    <x v="4"/>
    <x v="2"/>
    <x v="2"/>
    <x v="2"/>
    <x v="2"/>
    <x v="2"/>
    <x v="0"/>
  </r>
  <r>
    <x v="554"/>
    <x v="2"/>
    <x v="0"/>
    <x v="6"/>
    <x v="7"/>
    <x v="6"/>
    <x v="33"/>
    <x v="0"/>
    <x v="3"/>
    <x v="3"/>
    <x v="1"/>
    <x v="0"/>
    <x v="0"/>
    <x v="10"/>
    <x v="3"/>
    <x v="3"/>
    <x v="1"/>
    <x v="0"/>
    <x v="0"/>
  </r>
  <r>
    <x v="555"/>
    <x v="0"/>
    <x v="0"/>
    <x v="3"/>
    <x v="10"/>
    <x v="9"/>
    <x v="23"/>
    <x v="0"/>
    <x v="0"/>
    <x v="1"/>
    <x v="3"/>
    <x v="0"/>
    <x v="0"/>
    <x v="6"/>
    <x v="0"/>
    <x v="1"/>
    <x v="3"/>
    <x v="1"/>
    <x v="1"/>
  </r>
  <r>
    <x v="556"/>
    <x v="3"/>
    <x v="2"/>
    <x v="21"/>
    <x v="16"/>
    <x v="26"/>
    <x v="5"/>
    <x v="0"/>
    <x v="1"/>
    <x v="1"/>
    <x v="4"/>
    <x v="0"/>
    <x v="0"/>
    <x v="31"/>
    <x v="1"/>
    <x v="1"/>
    <x v="4"/>
    <x v="10"/>
    <x v="0"/>
  </r>
  <r>
    <x v="557"/>
    <x v="2"/>
    <x v="0"/>
    <x v="30"/>
    <x v="6"/>
    <x v="13"/>
    <x v="39"/>
    <x v="0"/>
    <x v="1"/>
    <x v="1"/>
    <x v="3"/>
    <x v="0"/>
    <x v="0"/>
    <x v="38"/>
    <x v="1"/>
    <x v="1"/>
    <x v="3"/>
    <x v="0"/>
    <x v="0"/>
  </r>
  <r>
    <x v="558"/>
    <x v="1"/>
    <x v="0"/>
    <x v="18"/>
    <x v="16"/>
    <x v="27"/>
    <x v="33"/>
    <x v="0"/>
    <x v="3"/>
    <x v="0"/>
    <x v="4"/>
    <x v="0"/>
    <x v="0"/>
    <x v="3"/>
    <x v="3"/>
    <x v="0"/>
    <x v="4"/>
    <x v="5"/>
    <x v="0"/>
  </r>
  <r>
    <x v="559"/>
    <x v="1"/>
    <x v="1"/>
    <x v="25"/>
    <x v="2"/>
    <x v="2"/>
    <x v="2"/>
    <x v="1"/>
    <x v="2"/>
    <x v="2"/>
    <x v="2"/>
    <x v="1"/>
    <x v="2"/>
    <x v="2"/>
    <x v="2"/>
    <x v="2"/>
    <x v="2"/>
    <x v="2"/>
    <x v="0"/>
  </r>
  <r>
    <x v="560"/>
    <x v="3"/>
    <x v="0"/>
    <x v="24"/>
    <x v="17"/>
    <x v="23"/>
    <x v="19"/>
    <x v="0"/>
    <x v="1"/>
    <x v="3"/>
    <x v="0"/>
    <x v="0"/>
    <x v="0"/>
    <x v="3"/>
    <x v="1"/>
    <x v="3"/>
    <x v="0"/>
    <x v="5"/>
    <x v="0"/>
  </r>
  <r>
    <x v="561"/>
    <x v="1"/>
    <x v="1"/>
    <x v="0"/>
    <x v="2"/>
    <x v="2"/>
    <x v="2"/>
    <x v="1"/>
    <x v="2"/>
    <x v="2"/>
    <x v="2"/>
    <x v="1"/>
    <x v="5"/>
    <x v="2"/>
    <x v="2"/>
    <x v="2"/>
    <x v="2"/>
    <x v="2"/>
    <x v="0"/>
  </r>
  <r>
    <x v="562"/>
    <x v="1"/>
    <x v="0"/>
    <x v="26"/>
    <x v="18"/>
    <x v="27"/>
    <x v="33"/>
    <x v="0"/>
    <x v="3"/>
    <x v="5"/>
    <x v="4"/>
    <x v="0"/>
    <x v="0"/>
    <x v="20"/>
    <x v="3"/>
    <x v="5"/>
    <x v="4"/>
    <x v="10"/>
    <x v="0"/>
  </r>
  <r>
    <x v="563"/>
    <x v="3"/>
    <x v="2"/>
    <x v="20"/>
    <x v="34"/>
    <x v="4"/>
    <x v="23"/>
    <x v="0"/>
    <x v="1"/>
    <x v="5"/>
    <x v="0"/>
    <x v="0"/>
    <x v="0"/>
    <x v="16"/>
    <x v="1"/>
    <x v="5"/>
    <x v="0"/>
    <x v="9"/>
    <x v="0"/>
  </r>
  <r>
    <x v="564"/>
    <x v="2"/>
    <x v="0"/>
    <x v="29"/>
    <x v="20"/>
    <x v="17"/>
    <x v="12"/>
    <x v="0"/>
    <x v="4"/>
    <x v="3"/>
    <x v="5"/>
    <x v="0"/>
    <x v="0"/>
    <x v="12"/>
    <x v="4"/>
    <x v="3"/>
    <x v="5"/>
    <x v="8"/>
    <x v="0"/>
  </r>
  <r>
    <x v="565"/>
    <x v="2"/>
    <x v="2"/>
    <x v="24"/>
    <x v="27"/>
    <x v="30"/>
    <x v="16"/>
    <x v="0"/>
    <x v="3"/>
    <x v="5"/>
    <x v="5"/>
    <x v="0"/>
    <x v="0"/>
    <x v="32"/>
    <x v="3"/>
    <x v="5"/>
    <x v="5"/>
    <x v="7"/>
    <x v="0"/>
  </r>
  <r>
    <x v="566"/>
    <x v="1"/>
    <x v="2"/>
    <x v="15"/>
    <x v="23"/>
    <x v="10"/>
    <x v="35"/>
    <x v="0"/>
    <x v="5"/>
    <x v="0"/>
    <x v="4"/>
    <x v="0"/>
    <x v="0"/>
    <x v="44"/>
    <x v="5"/>
    <x v="0"/>
    <x v="4"/>
    <x v="9"/>
    <x v="0"/>
  </r>
  <r>
    <x v="567"/>
    <x v="1"/>
    <x v="1"/>
    <x v="25"/>
    <x v="2"/>
    <x v="2"/>
    <x v="2"/>
    <x v="1"/>
    <x v="2"/>
    <x v="2"/>
    <x v="2"/>
    <x v="1"/>
    <x v="5"/>
    <x v="2"/>
    <x v="2"/>
    <x v="2"/>
    <x v="2"/>
    <x v="2"/>
    <x v="0"/>
  </r>
  <r>
    <x v="568"/>
    <x v="2"/>
    <x v="0"/>
    <x v="4"/>
    <x v="7"/>
    <x v="24"/>
    <x v="1"/>
    <x v="0"/>
    <x v="1"/>
    <x v="1"/>
    <x v="6"/>
    <x v="0"/>
    <x v="0"/>
    <x v="32"/>
    <x v="1"/>
    <x v="1"/>
    <x v="6"/>
    <x v="3"/>
    <x v="2"/>
  </r>
  <r>
    <x v="569"/>
    <x v="3"/>
    <x v="0"/>
    <x v="7"/>
    <x v="13"/>
    <x v="5"/>
    <x v="6"/>
    <x v="0"/>
    <x v="4"/>
    <x v="5"/>
    <x v="1"/>
    <x v="0"/>
    <x v="0"/>
    <x v="36"/>
    <x v="4"/>
    <x v="5"/>
    <x v="1"/>
    <x v="8"/>
    <x v="0"/>
  </r>
  <r>
    <x v="570"/>
    <x v="1"/>
    <x v="2"/>
    <x v="22"/>
    <x v="25"/>
    <x v="15"/>
    <x v="13"/>
    <x v="0"/>
    <x v="3"/>
    <x v="0"/>
    <x v="1"/>
    <x v="0"/>
    <x v="0"/>
    <x v="44"/>
    <x v="3"/>
    <x v="0"/>
    <x v="1"/>
    <x v="3"/>
    <x v="2"/>
  </r>
  <r>
    <x v="571"/>
    <x v="0"/>
    <x v="0"/>
    <x v="0"/>
    <x v="9"/>
    <x v="0"/>
    <x v="18"/>
    <x v="0"/>
    <x v="1"/>
    <x v="1"/>
    <x v="1"/>
    <x v="0"/>
    <x v="0"/>
    <x v="23"/>
    <x v="1"/>
    <x v="1"/>
    <x v="1"/>
    <x v="0"/>
    <x v="0"/>
  </r>
  <r>
    <x v="572"/>
    <x v="3"/>
    <x v="2"/>
    <x v="12"/>
    <x v="28"/>
    <x v="31"/>
    <x v="4"/>
    <x v="0"/>
    <x v="5"/>
    <x v="3"/>
    <x v="1"/>
    <x v="0"/>
    <x v="0"/>
    <x v="13"/>
    <x v="5"/>
    <x v="3"/>
    <x v="1"/>
    <x v="10"/>
    <x v="0"/>
  </r>
  <r>
    <x v="573"/>
    <x v="1"/>
    <x v="2"/>
    <x v="3"/>
    <x v="4"/>
    <x v="22"/>
    <x v="13"/>
    <x v="0"/>
    <x v="1"/>
    <x v="3"/>
    <x v="3"/>
    <x v="0"/>
    <x v="0"/>
    <x v="52"/>
    <x v="1"/>
    <x v="3"/>
    <x v="3"/>
    <x v="11"/>
    <x v="1"/>
  </r>
  <r>
    <x v="574"/>
    <x v="1"/>
    <x v="0"/>
    <x v="7"/>
    <x v="13"/>
    <x v="13"/>
    <x v="28"/>
    <x v="0"/>
    <x v="4"/>
    <x v="0"/>
    <x v="4"/>
    <x v="0"/>
    <x v="0"/>
    <x v="5"/>
    <x v="4"/>
    <x v="0"/>
    <x v="4"/>
    <x v="6"/>
    <x v="0"/>
  </r>
  <r>
    <x v="575"/>
    <x v="0"/>
    <x v="2"/>
    <x v="11"/>
    <x v="22"/>
    <x v="16"/>
    <x v="29"/>
    <x v="0"/>
    <x v="0"/>
    <x v="0"/>
    <x v="4"/>
    <x v="0"/>
    <x v="0"/>
    <x v="8"/>
    <x v="0"/>
    <x v="0"/>
    <x v="4"/>
    <x v="4"/>
    <x v="2"/>
  </r>
  <r>
    <x v="576"/>
    <x v="0"/>
    <x v="0"/>
    <x v="14"/>
    <x v="21"/>
    <x v="23"/>
    <x v="12"/>
    <x v="0"/>
    <x v="0"/>
    <x v="0"/>
    <x v="1"/>
    <x v="0"/>
    <x v="0"/>
    <x v="17"/>
    <x v="0"/>
    <x v="0"/>
    <x v="1"/>
    <x v="11"/>
    <x v="1"/>
  </r>
  <r>
    <x v="577"/>
    <x v="2"/>
    <x v="2"/>
    <x v="12"/>
    <x v="0"/>
    <x v="18"/>
    <x v="9"/>
    <x v="0"/>
    <x v="4"/>
    <x v="5"/>
    <x v="3"/>
    <x v="0"/>
    <x v="0"/>
    <x v="10"/>
    <x v="4"/>
    <x v="5"/>
    <x v="3"/>
    <x v="9"/>
    <x v="0"/>
  </r>
  <r>
    <x v="578"/>
    <x v="3"/>
    <x v="2"/>
    <x v="29"/>
    <x v="20"/>
    <x v="17"/>
    <x v="32"/>
    <x v="0"/>
    <x v="4"/>
    <x v="3"/>
    <x v="1"/>
    <x v="0"/>
    <x v="0"/>
    <x v="22"/>
    <x v="4"/>
    <x v="3"/>
    <x v="1"/>
    <x v="5"/>
    <x v="0"/>
  </r>
  <r>
    <x v="579"/>
    <x v="3"/>
    <x v="2"/>
    <x v="10"/>
    <x v="11"/>
    <x v="12"/>
    <x v="0"/>
    <x v="0"/>
    <x v="3"/>
    <x v="5"/>
    <x v="4"/>
    <x v="0"/>
    <x v="0"/>
    <x v="0"/>
    <x v="3"/>
    <x v="5"/>
    <x v="4"/>
    <x v="3"/>
    <x v="2"/>
  </r>
  <r>
    <x v="580"/>
    <x v="2"/>
    <x v="0"/>
    <x v="2"/>
    <x v="6"/>
    <x v="36"/>
    <x v="31"/>
    <x v="0"/>
    <x v="0"/>
    <x v="5"/>
    <x v="3"/>
    <x v="0"/>
    <x v="0"/>
    <x v="45"/>
    <x v="0"/>
    <x v="5"/>
    <x v="3"/>
    <x v="5"/>
    <x v="0"/>
  </r>
  <r>
    <x v="581"/>
    <x v="3"/>
    <x v="0"/>
    <x v="30"/>
    <x v="33"/>
    <x v="5"/>
    <x v="39"/>
    <x v="0"/>
    <x v="3"/>
    <x v="1"/>
    <x v="0"/>
    <x v="0"/>
    <x v="0"/>
    <x v="15"/>
    <x v="3"/>
    <x v="1"/>
    <x v="0"/>
    <x v="9"/>
    <x v="0"/>
  </r>
  <r>
    <x v="582"/>
    <x v="3"/>
    <x v="0"/>
    <x v="1"/>
    <x v="1"/>
    <x v="11"/>
    <x v="32"/>
    <x v="0"/>
    <x v="1"/>
    <x v="0"/>
    <x v="6"/>
    <x v="0"/>
    <x v="0"/>
    <x v="17"/>
    <x v="1"/>
    <x v="0"/>
    <x v="6"/>
    <x v="10"/>
    <x v="0"/>
  </r>
  <r>
    <x v="583"/>
    <x v="3"/>
    <x v="0"/>
    <x v="19"/>
    <x v="28"/>
    <x v="15"/>
    <x v="18"/>
    <x v="0"/>
    <x v="4"/>
    <x v="5"/>
    <x v="5"/>
    <x v="0"/>
    <x v="0"/>
    <x v="16"/>
    <x v="4"/>
    <x v="5"/>
    <x v="5"/>
    <x v="7"/>
    <x v="0"/>
  </r>
  <r>
    <x v="584"/>
    <x v="3"/>
    <x v="0"/>
    <x v="30"/>
    <x v="33"/>
    <x v="5"/>
    <x v="25"/>
    <x v="0"/>
    <x v="3"/>
    <x v="1"/>
    <x v="5"/>
    <x v="1"/>
    <x v="3"/>
    <x v="2"/>
    <x v="3"/>
    <x v="1"/>
    <x v="5"/>
    <x v="2"/>
    <x v="0"/>
  </r>
  <r>
    <x v="585"/>
    <x v="3"/>
    <x v="2"/>
    <x v="29"/>
    <x v="20"/>
    <x v="21"/>
    <x v="22"/>
    <x v="0"/>
    <x v="4"/>
    <x v="4"/>
    <x v="1"/>
    <x v="0"/>
    <x v="0"/>
    <x v="17"/>
    <x v="4"/>
    <x v="4"/>
    <x v="1"/>
    <x v="7"/>
    <x v="0"/>
  </r>
  <r>
    <x v="586"/>
    <x v="0"/>
    <x v="0"/>
    <x v="9"/>
    <x v="19"/>
    <x v="11"/>
    <x v="32"/>
    <x v="0"/>
    <x v="3"/>
    <x v="1"/>
    <x v="6"/>
    <x v="0"/>
    <x v="0"/>
    <x v="17"/>
    <x v="3"/>
    <x v="1"/>
    <x v="6"/>
    <x v="1"/>
    <x v="1"/>
  </r>
  <r>
    <x v="587"/>
    <x v="3"/>
    <x v="1"/>
    <x v="9"/>
    <x v="2"/>
    <x v="2"/>
    <x v="2"/>
    <x v="1"/>
    <x v="2"/>
    <x v="2"/>
    <x v="2"/>
    <x v="1"/>
    <x v="3"/>
    <x v="2"/>
    <x v="2"/>
    <x v="2"/>
    <x v="2"/>
    <x v="2"/>
    <x v="0"/>
  </r>
  <r>
    <x v="588"/>
    <x v="0"/>
    <x v="0"/>
    <x v="4"/>
    <x v="7"/>
    <x v="11"/>
    <x v="12"/>
    <x v="0"/>
    <x v="1"/>
    <x v="4"/>
    <x v="3"/>
    <x v="1"/>
    <x v="5"/>
    <x v="2"/>
    <x v="1"/>
    <x v="4"/>
    <x v="3"/>
    <x v="2"/>
    <x v="0"/>
  </r>
  <r>
    <x v="589"/>
    <x v="3"/>
    <x v="0"/>
    <x v="13"/>
    <x v="30"/>
    <x v="37"/>
    <x v="39"/>
    <x v="0"/>
    <x v="1"/>
    <x v="4"/>
    <x v="6"/>
    <x v="0"/>
    <x v="0"/>
    <x v="38"/>
    <x v="1"/>
    <x v="4"/>
    <x v="6"/>
    <x v="3"/>
    <x v="2"/>
  </r>
  <r>
    <x v="590"/>
    <x v="2"/>
    <x v="1"/>
    <x v="24"/>
    <x v="2"/>
    <x v="2"/>
    <x v="2"/>
    <x v="1"/>
    <x v="2"/>
    <x v="2"/>
    <x v="2"/>
    <x v="1"/>
    <x v="4"/>
    <x v="2"/>
    <x v="2"/>
    <x v="2"/>
    <x v="2"/>
    <x v="2"/>
    <x v="0"/>
  </r>
  <r>
    <x v="591"/>
    <x v="1"/>
    <x v="0"/>
    <x v="16"/>
    <x v="31"/>
    <x v="16"/>
    <x v="1"/>
    <x v="0"/>
    <x v="5"/>
    <x v="4"/>
    <x v="3"/>
    <x v="0"/>
    <x v="0"/>
    <x v="49"/>
    <x v="5"/>
    <x v="4"/>
    <x v="3"/>
    <x v="6"/>
    <x v="0"/>
  </r>
  <r>
    <x v="592"/>
    <x v="0"/>
    <x v="2"/>
    <x v="4"/>
    <x v="3"/>
    <x v="1"/>
    <x v="1"/>
    <x v="0"/>
    <x v="0"/>
    <x v="4"/>
    <x v="1"/>
    <x v="1"/>
    <x v="1"/>
    <x v="2"/>
    <x v="0"/>
    <x v="4"/>
    <x v="1"/>
    <x v="2"/>
    <x v="0"/>
  </r>
  <r>
    <x v="593"/>
    <x v="3"/>
    <x v="0"/>
    <x v="23"/>
    <x v="9"/>
    <x v="8"/>
    <x v="17"/>
    <x v="0"/>
    <x v="5"/>
    <x v="0"/>
    <x v="6"/>
    <x v="0"/>
    <x v="0"/>
    <x v="27"/>
    <x v="5"/>
    <x v="0"/>
    <x v="6"/>
    <x v="11"/>
    <x v="1"/>
  </r>
  <r>
    <x v="594"/>
    <x v="2"/>
    <x v="0"/>
    <x v="26"/>
    <x v="25"/>
    <x v="8"/>
    <x v="35"/>
    <x v="0"/>
    <x v="0"/>
    <x v="5"/>
    <x v="1"/>
    <x v="0"/>
    <x v="0"/>
    <x v="8"/>
    <x v="0"/>
    <x v="5"/>
    <x v="1"/>
    <x v="0"/>
    <x v="0"/>
  </r>
  <r>
    <x v="595"/>
    <x v="1"/>
    <x v="0"/>
    <x v="19"/>
    <x v="23"/>
    <x v="31"/>
    <x v="26"/>
    <x v="0"/>
    <x v="1"/>
    <x v="5"/>
    <x v="4"/>
    <x v="0"/>
    <x v="0"/>
    <x v="10"/>
    <x v="1"/>
    <x v="5"/>
    <x v="4"/>
    <x v="1"/>
    <x v="1"/>
  </r>
  <r>
    <x v="596"/>
    <x v="0"/>
    <x v="0"/>
    <x v="14"/>
    <x v="15"/>
    <x v="5"/>
    <x v="31"/>
    <x v="0"/>
    <x v="3"/>
    <x v="4"/>
    <x v="4"/>
    <x v="1"/>
    <x v="1"/>
    <x v="2"/>
    <x v="3"/>
    <x v="4"/>
    <x v="4"/>
    <x v="2"/>
    <x v="0"/>
  </r>
  <r>
    <x v="597"/>
    <x v="1"/>
    <x v="0"/>
    <x v="14"/>
    <x v="30"/>
    <x v="13"/>
    <x v="25"/>
    <x v="0"/>
    <x v="4"/>
    <x v="5"/>
    <x v="6"/>
    <x v="0"/>
    <x v="0"/>
    <x v="46"/>
    <x v="4"/>
    <x v="5"/>
    <x v="6"/>
    <x v="9"/>
    <x v="0"/>
  </r>
  <r>
    <x v="598"/>
    <x v="2"/>
    <x v="0"/>
    <x v="14"/>
    <x v="27"/>
    <x v="13"/>
    <x v="6"/>
    <x v="0"/>
    <x v="1"/>
    <x v="4"/>
    <x v="0"/>
    <x v="0"/>
    <x v="0"/>
    <x v="5"/>
    <x v="1"/>
    <x v="4"/>
    <x v="0"/>
    <x v="10"/>
    <x v="0"/>
  </r>
  <r>
    <x v="599"/>
    <x v="0"/>
    <x v="0"/>
    <x v="25"/>
    <x v="13"/>
    <x v="5"/>
    <x v="28"/>
    <x v="0"/>
    <x v="1"/>
    <x v="5"/>
    <x v="6"/>
    <x v="0"/>
    <x v="0"/>
    <x v="29"/>
    <x v="1"/>
    <x v="5"/>
    <x v="6"/>
    <x v="8"/>
    <x v="0"/>
  </r>
  <r>
    <x v="600"/>
    <x v="1"/>
    <x v="1"/>
    <x v="18"/>
    <x v="2"/>
    <x v="2"/>
    <x v="2"/>
    <x v="1"/>
    <x v="2"/>
    <x v="2"/>
    <x v="2"/>
    <x v="1"/>
    <x v="5"/>
    <x v="2"/>
    <x v="2"/>
    <x v="2"/>
    <x v="2"/>
    <x v="2"/>
    <x v="0"/>
  </r>
  <r>
    <x v="601"/>
    <x v="3"/>
    <x v="0"/>
    <x v="3"/>
    <x v="23"/>
    <x v="22"/>
    <x v="23"/>
    <x v="0"/>
    <x v="3"/>
    <x v="1"/>
    <x v="5"/>
    <x v="0"/>
    <x v="0"/>
    <x v="24"/>
    <x v="3"/>
    <x v="1"/>
    <x v="5"/>
    <x v="9"/>
    <x v="0"/>
  </r>
  <r>
    <x v="602"/>
    <x v="0"/>
    <x v="2"/>
    <x v="27"/>
    <x v="24"/>
    <x v="6"/>
    <x v="32"/>
    <x v="0"/>
    <x v="1"/>
    <x v="0"/>
    <x v="4"/>
    <x v="0"/>
    <x v="0"/>
    <x v="24"/>
    <x v="1"/>
    <x v="0"/>
    <x v="4"/>
    <x v="1"/>
    <x v="1"/>
  </r>
  <r>
    <x v="603"/>
    <x v="1"/>
    <x v="0"/>
    <x v="18"/>
    <x v="18"/>
    <x v="26"/>
    <x v="9"/>
    <x v="0"/>
    <x v="1"/>
    <x v="3"/>
    <x v="6"/>
    <x v="0"/>
    <x v="0"/>
    <x v="31"/>
    <x v="1"/>
    <x v="3"/>
    <x v="6"/>
    <x v="5"/>
    <x v="0"/>
  </r>
  <r>
    <x v="604"/>
    <x v="2"/>
    <x v="2"/>
    <x v="26"/>
    <x v="18"/>
    <x v="28"/>
    <x v="24"/>
    <x v="0"/>
    <x v="3"/>
    <x v="4"/>
    <x v="1"/>
    <x v="0"/>
    <x v="0"/>
    <x v="24"/>
    <x v="3"/>
    <x v="4"/>
    <x v="1"/>
    <x v="3"/>
    <x v="2"/>
  </r>
  <r>
    <x v="605"/>
    <x v="2"/>
    <x v="0"/>
    <x v="24"/>
    <x v="17"/>
    <x v="20"/>
    <x v="32"/>
    <x v="0"/>
    <x v="1"/>
    <x v="1"/>
    <x v="5"/>
    <x v="0"/>
    <x v="0"/>
    <x v="4"/>
    <x v="1"/>
    <x v="1"/>
    <x v="5"/>
    <x v="9"/>
    <x v="0"/>
  </r>
  <r>
    <x v="606"/>
    <x v="0"/>
    <x v="0"/>
    <x v="6"/>
    <x v="5"/>
    <x v="27"/>
    <x v="17"/>
    <x v="0"/>
    <x v="0"/>
    <x v="1"/>
    <x v="1"/>
    <x v="0"/>
    <x v="0"/>
    <x v="11"/>
    <x v="0"/>
    <x v="1"/>
    <x v="1"/>
    <x v="0"/>
    <x v="0"/>
  </r>
  <r>
    <x v="607"/>
    <x v="1"/>
    <x v="2"/>
    <x v="20"/>
    <x v="35"/>
    <x v="38"/>
    <x v="23"/>
    <x v="0"/>
    <x v="0"/>
    <x v="0"/>
    <x v="4"/>
    <x v="0"/>
    <x v="0"/>
    <x v="47"/>
    <x v="0"/>
    <x v="0"/>
    <x v="4"/>
    <x v="8"/>
    <x v="0"/>
  </r>
  <r>
    <x v="608"/>
    <x v="0"/>
    <x v="0"/>
    <x v="23"/>
    <x v="18"/>
    <x v="18"/>
    <x v="17"/>
    <x v="0"/>
    <x v="0"/>
    <x v="0"/>
    <x v="0"/>
    <x v="0"/>
    <x v="0"/>
    <x v="23"/>
    <x v="0"/>
    <x v="0"/>
    <x v="0"/>
    <x v="6"/>
    <x v="0"/>
  </r>
  <r>
    <x v="609"/>
    <x v="0"/>
    <x v="2"/>
    <x v="13"/>
    <x v="27"/>
    <x v="13"/>
    <x v="6"/>
    <x v="0"/>
    <x v="0"/>
    <x v="4"/>
    <x v="0"/>
    <x v="0"/>
    <x v="0"/>
    <x v="39"/>
    <x v="0"/>
    <x v="4"/>
    <x v="0"/>
    <x v="10"/>
    <x v="0"/>
  </r>
  <r>
    <x v="610"/>
    <x v="1"/>
    <x v="2"/>
    <x v="24"/>
    <x v="17"/>
    <x v="14"/>
    <x v="27"/>
    <x v="0"/>
    <x v="1"/>
    <x v="4"/>
    <x v="5"/>
    <x v="0"/>
    <x v="0"/>
    <x v="4"/>
    <x v="1"/>
    <x v="4"/>
    <x v="5"/>
    <x v="10"/>
    <x v="0"/>
  </r>
  <r>
    <x v="611"/>
    <x v="1"/>
    <x v="0"/>
    <x v="11"/>
    <x v="7"/>
    <x v="24"/>
    <x v="1"/>
    <x v="0"/>
    <x v="4"/>
    <x v="1"/>
    <x v="6"/>
    <x v="0"/>
    <x v="0"/>
    <x v="10"/>
    <x v="4"/>
    <x v="1"/>
    <x v="6"/>
    <x v="0"/>
    <x v="0"/>
  </r>
  <r>
    <x v="612"/>
    <x v="3"/>
    <x v="0"/>
    <x v="0"/>
    <x v="0"/>
    <x v="15"/>
    <x v="17"/>
    <x v="0"/>
    <x v="0"/>
    <x v="1"/>
    <x v="4"/>
    <x v="0"/>
    <x v="0"/>
    <x v="8"/>
    <x v="0"/>
    <x v="1"/>
    <x v="4"/>
    <x v="1"/>
    <x v="1"/>
  </r>
  <r>
    <x v="613"/>
    <x v="1"/>
    <x v="1"/>
    <x v="17"/>
    <x v="2"/>
    <x v="2"/>
    <x v="2"/>
    <x v="1"/>
    <x v="2"/>
    <x v="2"/>
    <x v="2"/>
    <x v="1"/>
    <x v="5"/>
    <x v="2"/>
    <x v="2"/>
    <x v="2"/>
    <x v="2"/>
    <x v="2"/>
    <x v="0"/>
  </r>
  <r>
    <x v="614"/>
    <x v="2"/>
    <x v="0"/>
    <x v="11"/>
    <x v="22"/>
    <x v="16"/>
    <x v="5"/>
    <x v="0"/>
    <x v="0"/>
    <x v="0"/>
    <x v="0"/>
    <x v="0"/>
    <x v="0"/>
    <x v="12"/>
    <x v="0"/>
    <x v="0"/>
    <x v="0"/>
    <x v="5"/>
    <x v="0"/>
  </r>
  <r>
    <x v="615"/>
    <x v="0"/>
    <x v="0"/>
    <x v="17"/>
    <x v="20"/>
    <x v="21"/>
    <x v="19"/>
    <x v="0"/>
    <x v="1"/>
    <x v="4"/>
    <x v="5"/>
    <x v="0"/>
    <x v="0"/>
    <x v="34"/>
    <x v="1"/>
    <x v="4"/>
    <x v="5"/>
    <x v="5"/>
    <x v="0"/>
  </r>
  <r>
    <x v="616"/>
    <x v="0"/>
    <x v="0"/>
    <x v="26"/>
    <x v="12"/>
    <x v="8"/>
    <x v="24"/>
    <x v="0"/>
    <x v="5"/>
    <x v="4"/>
    <x v="3"/>
    <x v="0"/>
    <x v="0"/>
    <x v="0"/>
    <x v="5"/>
    <x v="4"/>
    <x v="3"/>
    <x v="9"/>
    <x v="0"/>
  </r>
  <r>
    <x v="617"/>
    <x v="2"/>
    <x v="2"/>
    <x v="2"/>
    <x v="26"/>
    <x v="37"/>
    <x v="39"/>
    <x v="0"/>
    <x v="1"/>
    <x v="1"/>
    <x v="6"/>
    <x v="0"/>
    <x v="0"/>
    <x v="5"/>
    <x v="1"/>
    <x v="1"/>
    <x v="6"/>
    <x v="8"/>
    <x v="0"/>
  </r>
  <r>
    <x v="618"/>
    <x v="1"/>
    <x v="1"/>
    <x v="10"/>
    <x v="2"/>
    <x v="2"/>
    <x v="2"/>
    <x v="1"/>
    <x v="2"/>
    <x v="2"/>
    <x v="2"/>
    <x v="1"/>
    <x v="5"/>
    <x v="2"/>
    <x v="2"/>
    <x v="2"/>
    <x v="2"/>
    <x v="2"/>
    <x v="0"/>
  </r>
  <r>
    <x v="619"/>
    <x v="2"/>
    <x v="0"/>
    <x v="19"/>
    <x v="12"/>
    <x v="15"/>
    <x v="26"/>
    <x v="0"/>
    <x v="3"/>
    <x v="3"/>
    <x v="3"/>
    <x v="1"/>
    <x v="4"/>
    <x v="2"/>
    <x v="3"/>
    <x v="3"/>
    <x v="3"/>
    <x v="2"/>
    <x v="0"/>
  </r>
  <r>
    <x v="620"/>
    <x v="2"/>
    <x v="0"/>
    <x v="11"/>
    <x v="22"/>
    <x v="28"/>
    <x v="5"/>
    <x v="0"/>
    <x v="0"/>
    <x v="1"/>
    <x v="6"/>
    <x v="1"/>
    <x v="3"/>
    <x v="2"/>
    <x v="0"/>
    <x v="1"/>
    <x v="6"/>
    <x v="2"/>
    <x v="0"/>
  </r>
  <r>
    <x v="621"/>
    <x v="3"/>
    <x v="2"/>
    <x v="10"/>
    <x v="11"/>
    <x v="10"/>
    <x v="35"/>
    <x v="0"/>
    <x v="3"/>
    <x v="3"/>
    <x v="4"/>
    <x v="0"/>
    <x v="0"/>
    <x v="24"/>
    <x v="3"/>
    <x v="3"/>
    <x v="4"/>
    <x v="5"/>
    <x v="0"/>
  </r>
  <r>
    <x v="622"/>
    <x v="2"/>
    <x v="0"/>
    <x v="29"/>
    <x v="1"/>
    <x v="17"/>
    <x v="12"/>
    <x v="0"/>
    <x v="0"/>
    <x v="4"/>
    <x v="5"/>
    <x v="0"/>
    <x v="0"/>
    <x v="5"/>
    <x v="0"/>
    <x v="4"/>
    <x v="5"/>
    <x v="3"/>
    <x v="2"/>
  </r>
  <r>
    <x v="623"/>
    <x v="0"/>
    <x v="0"/>
    <x v="26"/>
    <x v="12"/>
    <x v="12"/>
    <x v="11"/>
    <x v="0"/>
    <x v="5"/>
    <x v="1"/>
    <x v="1"/>
    <x v="0"/>
    <x v="0"/>
    <x v="49"/>
    <x v="5"/>
    <x v="1"/>
    <x v="1"/>
    <x v="1"/>
    <x v="1"/>
  </r>
  <r>
    <x v="624"/>
    <x v="2"/>
    <x v="1"/>
    <x v="21"/>
    <x v="2"/>
    <x v="2"/>
    <x v="2"/>
    <x v="1"/>
    <x v="2"/>
    <x v="2"/>
    <x v="2"/>
    <x v="1"/>
    <x v="5"/>
    <x v="2"/>
    <x v="2"/>
    <x v="2"/>
    <x v="2"/>
    <x v="2"/>
    <x v="0"/>
  </r>
  <r>
    <x v="625"/>
    <x v="0"/>
    <x v="2"/>
    <x v="14"/>
    <x v="30"/>
    <x v="14"/>
    <x v="19"/>
    <x v="0"/>
    <x v="4"/>
    <x v="0"/>
    <x v="1"/>
    <x v="0"/>
    <x v="0"/>
    <x v="20"/>
    <x v="4"/>
    <x v="0"/>
    <x v="1"/>
    <x v="6"/>
    <x v="0"/>
  </r>
  <r>
    <x v="626"/>
    <x v="0"/>
    <x v="0"/>
    <x v="25"/>
    <x v="30"/>
    <x v="13"/>
    <x v="28"/>
    <x v="0"/>
    <x v="5"/>
    <x v="5"/>
    <x v="4"/>
    <x v="0"/>
    <x v="0"/>
    <x v="11"/>
    <x v="5"/>
    <x v="5"/>
    <x v="4"/>
    <x v="10"/>
    <x v="0"/>
  </r>
  <r>
    <x v="627"/>
    <x v="0"/>
    <x v="1"/>
    <x v="11"/>
    <x v="2"/>
    <x v="2"/>
    <x v="2"/>
    <x v="1"/>
    <x v="2"/>
    <x v="2"/>
    <x v="2"/>
    <x v="1"/>
    <x v="5"/>
    <x v="2"/>
    <x v="2"/>
    <x v="2"/>
    <x v="2"/>
    <x v="2"/>
    <x v="0"/>
  </r>
  <r>
    <x v="628"/>
    <x v="1"/>
    <x v="0"/>
    <x v="8"/>
    <x v="35"/>
    <x v="4"/>
    <x v="4"/>
    <x v="0"/>
    <x v="1"/>
    <x v="4"/>
    <x v="3"/>
    <x v="1"/>
    <x v="2"/>
    <x v="2"/>
    <x v="1"/>
    <x v="4"/>
    <x v="3"/>
    <x v="2"/>
    <x v="0"/>
  </r>
  <r>
    <x v="629"/>
    <x v="3"/>
    <x v="0"/>
    <x v="9"/>
    <x v="14"/>
    <x v="20"/>
    <x v="15"/>
    <x v="0"/>
    <x v="1"/>
    <x v="4"/>
    <x v="1"/>
    <x v="0"/>
    <x v="0"/>
    <x v="14"/>
    <x v="1"/>
    <x v="4"/>
    <x v="1"/>
    <x v="9"/>
    <x v="0"/>
  </r>
  <r>
    <x v="630"/>
    <x v="0"/>
    <x v="2"/>
    <x v="23"/>
    <x v="5"/>
    <x v="27"/>
    <x v="24"/>
    <x v="0"/>
    <x v="3"/>
    <x v="1"/>
    <x v="5"/>
    <x v="0"/>
    <x v="0"/>
    <x v="31"/>
    <x v="3"/>
    <x v="1"/>
    <x v="5"/>
    <x v="10"/>
    <x v="0"/>
  </r>
  <r>
    <x v="631"/>
    <x v="0"/>
    <x v="1"/>
    <x v="29"/>
    <x v="2"/>
    <x v="2"/>
    <x v="2"/>
    <x v="1"/>
    <x v="2"/>
    <x v="2"/>
    <x v="2"/>
    <x v="1"/>
    <x v="4"/>
    <x v="2"/>
    <x v="2"/>
    <x v="2"/>
    <x v="2"/>
    <x v="2"/>
    <x v="0"/>
  </r>
  <r>
    <x v="632"/>
    <x v="1"/>
    <x v="2"/>
    <x v="0"/>
    <x v="31"/>
    <x v="28"/>
    <x v="1"/>
    <x v="0"/>
    <x v="3"/>
    <x v="5"/>
    <x v="4"/>
    <x v="0"/>
    <x v="0"/>
    <x v="31"/>
    <x v="3"/>
    <x v="5"/>
    <x v="4"/>
    <x v="3"/>
    <x v="2"/>
  </r>
  <r>
    <x v="633"/>
    <x v="0"/>
    <x v="0"/>
    <x v="8"/>
    <x v="35"/>
    <x v="7"/>
    <x v="4"/>
    <x v="0"/>
    <x v="1"/>
    <x v="5"/>
    <x v="4"/>
    <x v="0"/>
    <x v="0"/>
    <x v="23"/>
    <x v="1"/>
    <x v="5"/>
    <x v="4"/>
    <x v="9"/>
    <x v="0"/>
  </r>
  <r>
    <x v="634"/>
    <x v="2"/>
    <x v="0"/>
    <x v="4"/>
    <x v="7"/>
    <x v="1"/>
    <x v="12"/>
    <x v="0"/>
    <x v="1"/>
    <x v="5"/>
    <x v="4"/>
    <x v="0"/>
    <x v="0"/>
    <x v="4"/>
    <x v="1"/>
    <x v="5"/>
    <x v="4"/>
    <x v="7"/>
    <x v="0"/>
  </r>
  <r>
    <x v="635"/>
    <x v="2"/>
    <x v="2"/>
    <x v="12"/>
    <x v="25"/>
    <x v="31"/>
    <x v="0"/>
    <x v="0"/>
    <x v="1"/>
    <x v="1"/>
    <x v="3"/>
    <x v="1"/>
    <x v="5"/>
    <x v="2"/>
    <x v="1"/>
    <x v="1"/>
    <x v="3"/>
    <x v="2"/>
    <x v="0"/>
  </r>
  <r>
    <x v="636"/>
    <x v="3"/>
    <x v="0"/>
    <x v="17"/>
    <x v="19"/>
    <x v="11"/>
    <x v="22"/>
    <x v="0"/>
    <x v="0"/>
    <x v="1"/>
    <x v="4"/>
    <x v="0"/>
    <x v="0"/>
    <x v="42"/>
    <x v="0"/>
    <x v="1"/>
    <x v="4"/>
    <x v="9"/>
    <x v="0"/>
  </r>
  <r>
    <x v="637"/>
    <x v="0"/>
    <x v="2"/>
    <x v="11"/>
    <x v="5"/>
    <x v="16"/>
    <x v="5"/>
    <x v="0"/>
    <x v="5"/>
    <x v="3"/>
    <x v="0"/>
    <x v="0"/>
    <x v="0"/>
    <x v="3"/>
    <x v="5"/>
    <x v="3"/>
    <x v="0"/>
    <x v="0"/>
    <x v="0"/>
  </r>
  <r>
    <x v="638"/>
    <x v="1"/>
    <x v="2"/>
    <x v="3"/>
    <x v="10"/>
    <x v="4"/>
    <x v="11"/>
    <x v="0"/>
    <x v="0"/>
    <x v="3"/>
    <x v="6"/>
    <x v="0"/>
    <x v="0"/>
    <x v="43"/>
    <x v="0"/>
    <x v="3"/>
    <x v="6"/>
    <x v="10"/>
    <x v="0"/>
  </r>
  <r>
    <x v="639"/>
    <x v="2"/>
    <x v="0"/>
    <x v="29"/>
    <x v="20"/>
    <x v="17"/>
    <x v="22"/>
    <x v="0"/>
    <x v="4"/>
    <x v="3"/>
    <x v="0"/>
    <x v="0"/>
    <x v="0"/>
    <x v="15"/>
    <x v="4"/>
    <x v="3"/>
    <x v="0"/>
    <x v="1"/>
    <x v="1"/>
  </r>
  <r>
    <x v="640"/>
    <x v="1"/>
    <x v="1"/>
    <x v="28"/>
    <x v="2"/>
    <x v="2"/>
    <x v="2"/>
    <x v="1"/>
    <x v="2"/>
    <x v="2"/>
    <x v="2"/>
    <x v="1"/>
    <x v="2"/>
    <x v="2"/>
    <x v="2"/>
    <x v="2"/>
    <x v="2"/>
    <x v="2"/>
    <x v="0"/>
  </r>
  <r>
    <x v="641"/>
    <x v="1"/>
    <x v="0"/>
    <x v="27"/>
    <x v="7"/>
    <x v="3"/>
    <x v="3"/>
    <x v="0"/>
    <x v="0"/>
    <x v="0"/>
    <x v="3"/>
    <x v="0"/>
    <x v="0"/>
    <x v="10"/>
    <x v="0"/>
    <x v="0"/>
    <x v="3"/>
    <x v="3"/>
    <x v="2"/>
  </r>
  <r>
    <x v="642"/>
    <x v="2"/>
    <x v="0"/>
    <x v="3"/>
    <x v="4"/>
    <x v="12"/>
    <x v="35"/>
    <x v="0"/>
    <x v="1"/>
    <x v="4"/>
    <x v="3"/>
    <x v="0"/>
    <x v="0"/>
    <x v="10"/>
    <x v="1"/>
    <x v="4"/>
    <x v="3"/>
    <x v="8"/>
    <x v="0"/>
  </r>
  <r>
    <x v="643"/>
    <x v="1"/>
    <x v="2"/>
    <x v="6"/>
    <x v="5"/>
    <x v="16"/>
    <x v="29"/>
    <x v="0"/>
    <x v="0"/>
    <x v="3"/>
    <x v="4"/>
    <x v="0"/>
    <x v="0"/>
    <x v="3"/>
    <x v="0"/>
    <x v="3"/>
    <x v="4"/>
    <x v="8"/>
    <x v="0"/>
  </r>
  <r>
    <x v="644"/>
    <x v="2"/>
    <x v="2"/>
    <x v="7"/>
    <x v="6"/>
    <x v="37"/>
    <x v="6"/>
    <x v="0"/>
    <x v="3"/>
    <x v="0"/>
    <x v="5"/>
    <x v="0"/>
    <x v="0"/>
    <x v="11"/>
    <x v="3"/>
    <x v="0"/>
    <x v="5"/>
    <x v="10"/>
    <x v="0"/>
  </r>
  <r>
    <x v="645"/>
    <x v="1"/>
    <x v="2"/>
    <x v="24"/>
    <x v="17"/>
    <x v="17"/>
    <x v="32"/>
    <x v="0"/>
    <x v="1"/>
    <x v="0"/>
    <x v="1"/>
    <x v="0"/>
    <x v="0"/>
    <x v="18"/>
    <x v="1"/>
    <x v="0"/>
    <x v="1"/>
    <x v="6"/>
    <x v="0"/>
  </r>
  <r>
    <x v="646"/>
    <x v="2"/>
    <x v="2"/>
    <x v="27"/>
    <x v="3"/>
    <x v="16"/>
    <x v="9"/>
    <x v="0"/>
    <x v="5"/>
    <x v="1"/>
    <x v="1"/>
    <x v="0"/>
    <x v="0"/>
    <x v="12"/>
    <x v="5"/>
    <x v="1"/>
    <x v="1"/>
    <x v="5"/>
    <x v="0"/>
  </r>
  <r>
    <x v="647"/>
    <x v="0"/>
    <x v="0"/>
    <x v="23"/>
    <x v="18"/>
    <x v="27"/>
    <x v="17"/>
    <x v="0"/>
    <x v="0"/>
    <x v="5"/>
    <x v="1"/>
    <x v="0"/>
    <x v="0"/>
    <x v="27"/>
    <x v="0"/>
    <x v="5"/>
    <x v="1"/>
    <x v="7"/>
    <x v="0"/>
  </r>
  <r>
    <x v="648"/>
    <x v="3"/>
    <x v="0"/>
    <x v="9"/>
    <x v="14"/>
    <x v="25"/>
    <x v="32"/>
    <x v="0"/>
    <x v="1"/>
    <x v="5"/>
    <x v="0"/>
    <x v="0"/>
    <x v="0"/>
    <x v="39"/>
    <x v="1"/>
    <x v="5"/>
    <x v="0"/>
    <x v="6"/>
    <x v="0"/>
  </r>
  <r>
    <x v="649"/>
    <x v="2"/>
    <x v="0"/>
    <x v="23"/>
    <x v="5"/>
    <x v="16"/>
    <x v="1"/>
    <x v="0"/>
    <x v="3"/>
    <x v="3"/>
    <x v="3"/>
    <x v="1"/>
    <x v="1"/>
    <x v="2"/>
    <x v="3"/>
    <x v="3"/>
    <x v="3"/>
    <x v="2"/>
    <x v="0"/>
  </r>
  <r>
    <x v="650"/>
    <x v="2"/>
    <x v="2"/>
    <x v="29"/>
    <x v="17"/>
    <x v="14"/>
    <x v="14"/>
    <x v="0"/>
    <x v="3"/>
    <x v="4"/>
    <x v="6"/>
    <x v="1"/>
    <x v="5"/>
    <x v="2"/>
    <x v="3"/>
    <x v="4"/>
    <x v="6"/>
    <x v="2"/>
    <x v="0"/>
  </r>
  <r>
    <x v="651"/>
    <x v="3"/>
    <x v="0"/>
    <x v="12"/>
    <x v="12"/>
    <x v="8"/>
    <x v="24"/>
    <x v="0"/>
    <x v="0"/>
    <x v="4"/>
    <x v="3"/>
    <x v="1"/>
    <x v="5"/>
    <x v="2"/>
    <x v="0"/>
    <x v="4"/>
    <x v="3"/>
    <x v="2"/>
    <x v="0"/>
  </r>
  <r>
    <x v="652"/>
    <x v="2"/>
    <x v="1"/>
    <x v="29"/>
    <x v="2"/>
    <x v="2"/>
    <x v="2"/>
    <x v="1"/>
    <x v="2"/>
    <x v="2"/>
    <x v="2"/>
    <x v="1"/>
    <x v="2"/>
    <x v="2"/>
    <x v="2"/>
    <x v="2"/>
    <x v="2"/>
    <x v="2"/>
    <x v="0"/>
  </r>
  <r>
    <x v="653"/>
    <x v="2"/>
    <x v="2"/>
    <x v="2"/>
    <x v="26"/>
    <x v="32"/>
    <x v="31"/>
    <x v="0"/>
    <x v="1"/>
    <x v="4"/>
    <x v="0"/>
    <x v="0"/>
    <x v="0"/>
    <x v="37"/>
    <x v="1"/>
    <x v="4"/>
    <x v="0"/>
    <x v="9"/>
    <x v="0"/>
  </r>
  <r>
    <x v="654"/>
    <x v="1"/>
    <x v="1"/>
    <x v="5"/>
    <x v="2"/>
    <x v="2"/>
    <x v="2"/>
    <x v="1"/>
    <x v="2"/>
    <x v="2"/>
    <x v="2"/>
    <x v="1"/>
    <x v="4"/>
    <x v="2"/>
    <x v="2"/>
    <x v="2"/>
    <x v="2"/>
    <x v="2"/>
    <x v="0"/>
  </r>
  <r>
    <x v="655"/>
    <x v="3"/>
    <x v="1"/>
    <x v="26"/>
    <x v="2"/>
    <x v="2"/>
    <x v="2"/>
    <x v="1"/>
    <x v="2"/>
    <x v="2"/>
    <x v="2"/>
    <x v="1"/>
    <x v="5"/>
    <x v="2"/>
    <x v="2"/>
    <x v="2"/>
    <x v="2"/>
    <x v="2"/>
    <x v="0"/>
  </r>
  <r>
    <x v="656"/>
    <x v="0"/>
    <x v="2"/>
    <x v="27"/>
    <x v="3"/>
    <x v="24"/>
    <x v="21"/>
    <x v="0"/>
    <x v="5"/>
    <x v="0"/>
    <x v="1"/>
    <x v="0"/>
    <x v="0"/>
    <x v="12"/>
    <x v="5"/>
    <x v="0"/>
    <x v="1"/>
    <x v="0"/>
    <x v="0"/>
  </r>
  <r>
    <x v="657"/>
    <x v="2"/>
    <x v="0"/>
    <x v="17"/>
    <x v="17"/>
    <x v="17"/>
    <x v="19"/>
    <x v="0"/>
    <x v="4"/>
    <x v="0"/>
    <x v="6"/>
    <x v="1"/>
    <x v="1"/>
    <x v="2"/>
    <x v="4"/>
    <x v="0"/>
    <x v="6"/>
    <x v="2"/>
    <x v="0"/>
  </r>
  <r>
    <x v="658"/>
    <x v="3"/>
    <x v="0"/>
    <x v="2"/>
    <x v="29"/>
    <x v="29"/>
    <x v="31"/>
    <x v="0"/>
    <x v="3"/>
    <x v="0"/>
    <x v="6"/>
    <x v="1"/>
    <x v="5"/>
    <x v="2"/>
    <x v="3"/>
    <x v="0"/>
    <x v="6"/>
    <x v="2"/>
    <x v="0"/>
  </r>
  <r>
    <x v="659"/>
    <x v="1"/>
    <x v="0"/>
    <x v="23"/>
    <x v="16"/>
    <x v="26"/>
    <x v="5"/>
    <x v="0"/>
    <x v="4"/>
    <x v="1"/>
    <x v="4"/>
    <x v="0"/>
    <x v="0"/>
    <x v="25"/>
    <x v="4"/>
    <x v="1"/>
    <x v="4"/>
    <x v="0"/>
    <x v="0"/>
  </r>
  <r>
    <x v="660"/>
    <x v="0"/>
    <x v="0"/>
    <x v="3"/>
    <x v="34"/>
    <x v="9"/>
    <x v="40"/>
    <x v="0"/>
    <x v="5"/>
    <x v="0"/>
    <x v="5"/>
    <x v="0"/>
    <x v="0"/>
    <x v="27"/>
    <x v="5"/>
    <x v="0"/>
    <x v="5"/>
    <x v="10"/>
    <x v="0"/>
  </r>
  <r>
    <x v="661"/>
    <x v="3"/>
    <x v="0"/>
    <x v="26"/>
    <x v="25"/>
    <x v="18"/>
    <x v="24"/>
    <x v="0"/>
    <x v="0"/>
    <x v="4"/>
    <x v="6"/>
    <x v="0"/>
    <x v="0"/>
    <x v="8"/>
    <x v="0"/>
    <x v="4"/>
    <x v="6"/>
    <x v="3"/>
    <x v="2"/>
  </r>
  <r>
    <x v="662"/>
    <x v="0"/>
    <x v="0"/>
    <x v="22"/>
    <x v="25"/>
    <x v="18"/>
    <x v="21"/>
    <x v="0"/>
    <x v="3"/>
    <x v="4"/>
    <x v="4"/>
    <x v="0"/>
    <x v="0"/>
    <x v="10"/>
    <x v="3"/>
    <x v="4"/>
    <x v="4"/>
    <x v="7"/>
    <x v="0"/>
  </r>
  <r>
    <x v="663"/>
    <x v="0"/>
    <x v="0"/>
    <x v="15"/>
    <x v="25"/>
    <x v="8"/>
    <x v="0"/>
    <x v="0"/>
    <x v="4"/>
    <x v="5"/>
    <x v="5"/>
    <x v="0"/>
    <x v="0"/>
    <x v="30"/>
    <x v="4"/>
    <x v="5"/>
    <x v="5"/>
    <x v="8"/>
    <x v="0"/>
  </r>
  <r>
    <x v="664"/>
    <x v="0"/>
    <x v="0"/>
    <x v="30"/>
    <x v="33"/>
    <x v="34"/>
    <x v="43"/>
    <x v="0"/>
    <x v="3"/>
    <x v="4"/>
    <x v="1"/>
    <x v="0"/>
    <x v="0"/>
    <x v="29"/>
    <x v="3"/>
    <x v="4"/>
    <x v="1"/>
    <x v="3"/>
    <x v="2"/>
  </r>
  <r>
    <x v="665"/>
    <x v="2"/>
    <x v="0"/>
    <x v="20"/>
    <x v="10"/>
    <x v="7"/>
    <x v="4"/>
    <x v="0"/>
    <x v="4"/>
    <x v="0"/>
    <x v="4"/>
    <x v="0"/>
    <x v="0"/>
    <x v="16"/>
    <x v="4"/>
    <x v="0"/>
    <x v="4"/>
    <x v="0"/>
    <x v="0"/>
  </r>
  <r>
    <x v="666"/>
    <x v="2"/>
    <x v="0"/>
    <x v="18"/>
    <x v="18"/>
    <x v="18"/>
    <x v="9"/>
    <x v="0"/>
    <x v="1"/>
    <x v="0"/>
    <x v="3"/>
    <x v="0"/>
    <x v="0"/>
    <x v="10"/>
    <x v="1"/>
    <x v="0"/>
    <x v="3"/>
    <x v="11"/>
    <x v="1"/>
  </r>
  <r>
    <x v="667"/>
    <x v="1"/>
    <x v="0"/>
    <x v="15"/>
    <x v="12"/>
    <x v="15"/>
    <x v="26"/>
    <x v="0"/>
    <x v="1"/>
    <x v="3"/>
    <x v="3"/>
    <x v="0"/>
    <x v="0"/>
    <x v="23"/>
    <x v="1"/>
    <x v="3"/>
    <x v="3"/>
    <x v="6"/>
    <x v="0"/>
  </r>
  <r>
    <x v="668"/>
    <x v="1"/>
    <x v="2"/>
    <x v="6"/>
    <x v="5"/>
    <x v="27"/>
    <x v="24"/>
    <x v="0"/>
    <x v="0"/>
    <x v="1"/>
    <x v="5"/>
    <x v="0"/>
    <x v="0"/>
    <x v="19"/>
    <x v="0"/>
    <x v="1"/>
    <x v="5"/>
    <x v="0"/>
    <x v="0"/>
  </r>
  <r>
    <x v="669"/>
    <x v="3"/>
    <x v="2"/>
    <x v="5"/>
    <x v="10"/>
    <x v="10"/>
    <x v="35"/>
    <x v="0"/>
    <x v="5"/>
    <x v="4"/>
    <x v="4"/>
    <x v="1"/>
    <x v="1"/>
    <x v="2"/>
    <x v="5"/>
    <x v="4"/>
    <x v="4"/>
    <x v="2"/>
    <x v="0"/>
  </r>
  <r>
    <x v="670"/>
    <x v="1"/>
    <x v="1"/>
    <x v="10"/>
    <x v="2"/>
    <x v="2"/>
    <x v="2"/>
    <x v="1"/>
    <x v="2"/>
    <x v="2"/>
    <x v="2"/>
    <x v="1"/>
    <x v="3"/>
    <x v="2"/>
    <x v="2"/>
    <x v="2"/>
    <x v="2"/>
    <x v="2"/>
    <x v="0"/>
  </r>
  <r>
    <x v="671"/>
    <x v="0"/>
    <x v="0"/>
    <x v="10"/>
    <x v="11"/>
    <x v="4"/>
    <x v="23"/>
    <x v="0"/>
    <x v="3"/>
    <x v="1"/>
    <x v="0"/>
    <x v="0"/>
    <x v="0"/>
    <x v="13"/>
    <x v="3"/>
    <x v="1"/>
    <x v="0"/>
    <x v="6"/>
    <x v="0"/>
  </r>
  <r>
    <x v="672"/>
    <x v="0"/>
    <x v="2"/>
    <x v="29"/>
    <x v="14"/>
    <x v="20"/>
    <x v="27"/>
    <x v="0"/>
    <x v="5"/>
    <x v="4"/>
    <x v="4"/>
    <x v="0"/>
    <x v="0"/>
    <x v="29"/>
    <x v="5"/>
    <x v="4"/>
    <x v="4"/>
    <x v="5"/>
    <x v="0"/>
  </r>
  <r>
    <x v="673"/>
    <x v="2"/>
    <x v="2"/>
    <x v="22"/>
    <x v="12"/>
    <x v="0"/>
    <x v="0"/>
    <x v="0"/>
    <x v="4"/>
    <x v="5"/>
    <x v="0"/>
    <x v="0"/>
    <x v="0"/>
    <x v="51"/>
    <x v="4"/>
    <x v="5"/>
    <x v="0"/>
    <x v="4"/>
    <x v="2"/>
  </r>
  <r>
    <x v="674"/>
    <x v="0"/>
    <x v="2"/>
    <x v="19"/>
    <x v="11"/>
    <x v="12"/>
    <x v="18"/>
    <x v="0"/>
    <x v="0"/>
    <x v="5"/>
    <x v="6"/>
    <x v="0"/>
    <x v="0"/>
    <x v="51"/>
    <x v="0"/>
    <x v="5"/>
    <x v="6"/>
    <x v="1"/>
    <x v="1"/>
  </r>
  <r>
    <x v="675"/>
    <x v="3"/>
    <x v="1"/>
    <x v="24"/>
    <x v="2"/>
    <x v="2"/>
    <x v="2"/>
    <x v="1"/>
    <x v="2"/>
    <x v="2"/>
    <x v="2"/>
    <x v="1"/>
    <x v="3"/>
    <x v="2"/>
    <x v="2"/>
    <x v="2"/>
    <x v="2"/>
    <x v="2"/>
    <x v="0"/>
  </r>
  <r>
    <x v="676"/>
    <x v="0"/>
    <x v="0"/>
    <x v="18"/>
    <x v="18"/>
    <x v="8"/>
    <x v="17"/>
    <x v="0"/>
    <x v="1"/>
    <x v="1"/>
    <x v="6"/>
    <x v="0"/>
    <x v="0"/>
    <x v="21"/>
    <x v="1"/>
    <x v="1"/>
    <x v="6"/>
    <x v="4"/>
    <x v="2"/>
  </r>
  <r>
    <x v="677"/>
    <x v="0"/>
    <x v="1"/>
    <x v="19"/>
    <x v="2"/>
    <x v="2"/>
    <x v="2"/>
    <x v="1"/>
    <x v="2"/>
    <x v="2"/>
    <x v="2"/>
    <x v="1"/>
    <x v="1"/>
    <x v="2"/>
    <x v="2"/>
    <x v="2"/>
    <x v="2"/>
    <x v="2"/>
    <x v="0"/>
  </r>
  <r>
    <x v="678"/>
    <x v="3"/>
    <x v="0"/>
    <x v="9"/>
    <x v="14"/>
    <x v="1"/>
    <x v="15"/>
    <x v="0"/>
    <x v="1"/>
    <x v="0"/>
    <x v="6"/>
    <x v="1"/>
    <x v="4"/>
    <x v="2"/>
    <x v="1"/>
    <x v="0"/>
    <x v="6"/>
    <x v="2"/>
    <x v="0"/>
  </r>
  <r>
    <x v="679"/>
    <x v="1"/>
    <x v="0"/>
    <x v="24"/>
    <x v="20"/>
    <x v="17"/>
    <x v="16"/>
    <x v="0"/>
    <x v="0"/>
    <x v="3"/>
    <x v="4"/>
    <x v="0"/>
    <x v="0"/>
    <x v="20"/>
    <x v="0"/>
    <x v="3"/>
    <x v="4"/>
    <x v="4"/>
    <x v="2"/>
  </r>
  <r>
    <x v="680"/>
    <x v="1"/>
    <x v="0"/>
    <x v="0"/>
    <x v="31"/>
    <x v="16"/>
    <x v="21"/>
    <x v="0"/>
    <x v="3"/>
    <x v="4"/>
    <x v="5"/>
    <x v="0"/>
    <x v="0"/>
    <x v="5"/>
    <x v="3"/>
    <x v="4"/>
    <x v="5"/>
    <x v="0"/>
    <x v="0"/>
  </r>
  <r>
    <x v="681"/>
    <x v="3"/>
    <x v="0"/>
    <x v="28"/>
    <x v="20"/>
    <x v="21"/>
    <x v="27"/>
    <x v="0"/>
    <x v="5"/>
    <x v="4"/>
    <x v="0"/>
    <x v="0"/>
    <x v="0"/>
    <x v="3"/>
    <x v="5"/>
    <x v="4"/>
    <x v="0"/>
    <x v="3"/>
    <x v="2"/>
  </r>
  <r>
    <x v="682"/>
    <x v="2"/>
    <x v="2"/>
    <x v="18"/>
    <x v="31"/>
    <x v="27"/>
    <x v="33"/>
    <x v="0"/>
    <x v="4"/>
    <x v="3"/>
    <x v="4"/>
    <x v="0"/>
    <x v="0"/>
    <x v="3"/>
    <x v="4"/>
    <x v="3"/>
    <x v="4"/>
    <x v="1"/>
    <x v="1"/>
  </r>
  <r>
    <x v="683"/>
    <x v="0"/>
    <x v="1"/>
    <x v="17"/>
    <x v="2"/>
    <x v="2"/>
    <x v="2"/>
    <x v="1"/>
    <x v="2"/>
    <x v="2"/>
    <x v="2"/>
    <x v="1"/>
    <x v="5"/>
    <x v="2"/>
    <x v="2"/>
    <x v="2"/>
    <x v="2"/>
    <x v="2"/>
    <x v="0"/>
  </r>
  <r>
    <x v="684"/>
    <x v="3"/>
    <x v="1"/>
    <x v="26"/>
    <x v="2"/>
    <x v="2"/>
    <x v="2"/>
    <x v="1"/>
    <x v="2"/>
    <x v="2"/>
    <x v="2"/>
    <x v="1"/>
    <x v="5"/>
    <x v="2"/>
    <x v="2"/>
    <x v="2"/>
    <x v="2"/>
    <x v="2"/>
    <x v="0"/>
  </r>
  <r>
    <x v="685"/>
    <x v="0"/>
    <x v="0"/>
    <x v="22"/>
    <x v="11"/>
    <x v="4"/>
    <x v="11"/>
    <x v="0"/>
    <x v="5"/>
    <x v="1"/>
    <x v="6"/>
    <x v="0"/>
    <x v="0"/>
    <x v="13"/>
    <x v="5"/>
    <x v="1"/>
    <x v="6"/>
    <x v="7"/>
    <x v="0"/>
  </r>
  <r>
    <x v="686"/>
    <x v="2"/>
    <x v="1"/>
    <x v="15"/>
    <x v="2"/>
    <x v="2"/>
    <x v="2"/>
    <x v="1"/>
    <x v="2"/>
    <x v="2"/>
    <x v="2"/>
    <x v="1"/>
    <x v="3"/>
    <x v="2"/>
    <x v="2"/>
    <x v="2"/>
    <x v="2"/>
    <x v="2"/>
    <x v="0"/>
  </r>
  <r>
    <x v="687"/>
    <x v="0"/>
    <x v="1"/>
    <x v="22"/>
    <x v="2"/>
    <x v="2"/>
    <x v="2"/>
    <x v="1"/>
    <x v="2"/>
    <x v="2"/>
    <x v="2"/>
    <x v="1"/>
    <x v="1"/>
    <x v="2"/>
    <x v="2"/>
    <x v="2"/>
    <x v="2"/>
    <x v="2"/>
    <x v="0"/>
  </r>
  <r>
    <x v="688"/>
    <x v="3"/>
    <x v="0"/>
    <x v="26"/>
    <x v="0"/>
    <x v="15"/>
    <x v="26"/>
    <x v="0"/>
    <x v="1"/>
    <x v="1"/>
    <x v="3"/>
    <x v="0"/>
    <x v="0"/>
    <x v="20"/>
    <x v="1"/>
    <x v="1"/>
    <x v="3"/>
    <x v="7"/>
    <x v="0"/>
  </r>
  <r>
    <x v="689"/>
    <x v="0"/>
    <x v="2"/>
    <x v="26"/>
    <x v="25"/>
    <x v="18"/>
    <x v="24"/>
    <x v="0"/>
    <x v="0"/>
    <x v="4"/>
    <x v="6"/>
    <x v="0"/>
    <x v="0"/>
    <x v="1"/>
    <x v="0"/>
    <x v="4"/>
    <x v="6"/>
    <x v="0"/>
    <x v="0"/>
  </r>
  <r>
    <x v="690"/>
    <x v="1"/>
    <x v="0"/>
    <x v="5"/>
    <x v="11"/>
    <x v="12"/>
    <x v="4"/>
    <x v="0"/>
    <x v="1"/>
    <x v="5"/>
    <x v="5"/>
    <x v="0"/>
    <x v="0"/>
    <x v="51"/>
    <x v="1"/>
    <x v="5"/>
    <x v="5"/>
    <x v="11"/>
    <x v="1"/>
  </r>
  <r>
    <x v="691"/>
    <x v="2"/>
    <x v="0"/>
    <x v="13"/>
    <x v="30"/>
    <x v="30"/>
    <x v="6"/>
    <x v="0"/>
    <x v="1"/>
    <x v="3"/>
    <x v="6"/>
    <x v="0"/>
    <x v="0"/>
    <x v="39"/>
    <x v="1"/>
    <x v="3"/>
    <x v="6"/>
    <x v="9"/>
    <x v="0"/>
  </r>
  <r>
    <x v="692"/>
    <x v="2"/>
    <x v="2"/>
    <x v="0"/>
    <x v="18"/>
    <x v="28"/>
    <x v="24"/>
    <x v="0"/>
    <x v="4"/>
    <x v="4"/>
    <x v="1"/>
    <x v="0"/>
    <x v="0"/>
    <x v="8"/>
    <x v="4"/>
    <x v="4"/>
    <x v="1"/>
    <x v="1"/>
    <x v="1"/>
  </r>
  <r>
    <x v="693"/>
    <x v="2"/>
    <x v="2"/>
    <x v="7"/>
    <x v="6"/>
    <x v="36"/>
    <x v="39"/>
    <x v="0"/>
    <x v="3"/>
    <x v="5"/>
    <x v="5"/>
    <x v="0"/>
    <x v="0"/>
    <x v="41"/>
    <x v="3"/>
    <x v="5"/>
    <x v="5"/>
    <x v="11"/>
    <x v="1"/>
  </r>
  <r>
    <x v="694"/>
    <x v="3"/>
    <x v="0"/>
    <x v="10"/>
    <x v="11"/>
    <x v="4"/>
    <x v="4"/>
    <x v="0"/>
    <x v="3"/>
    <x v="1"/>
    <x v="3"/>
    <x v="0"/>
    <x v="0"/>
    <x v="31"/>
    <x v="3"/>
    <x v="1"/>
    <x v="3"/>
    <x v="0"/>
    <x v="0"/>
  </r>
  <r>
    <x v="695"/>
    <x v="2"/>
    <x v="2"/>
    <x v="0"/>
    <x v="18"/>
    <x v="27"/>
    <x v="9"/>
    <x v="0"/>
    <x v="4"/>
    <x v="5"/>
    <x v="0"/>
    <x v="0"/>
    <x v="0"/>
    <x v="19"/>
    <x v="4"/>
    <x v="5"/>
    <x v="0"/>
    <x v="0"/>
    <x v="0"/>
  </r>
  <r>
    <x v="696"/>
    <x v="1"/>
    <x v="0"/>
    <x v="0"/>
    <x v="0"/>
    <x v="0"/>
    <x v="26"/>
    <x v="0"/>
    <x v="0"/>
    <x v="0"/>
    <x v="6"/>
    <x v="0"/>
    <x v="0"/>
    <x v="10"/>
    <x v="0"/>
    <x v="0"/>
    <x v="6"/>
    <x v="3"/>
    <x v="2"/>
  </r>
  <r>
    <x v="697"/>
    <x v="3"/>
    <x v="1"/>
    <x v="30"/>
    <x v="2"/>
    <x v="2"/>
    <x v="2"/>
    <x v="1"/>
    <x v="2"/>
    <x v="2"/>
    <x v="2"/>
    <x v="1"/>
    <x v="5"/>
    <x v="2"/>
    <x v="2"/>
    <x v="2"/>
    <x v="2"/>
    <x v="2"/>
    <x v="0"/>
  </r>
  <r>
    <x v="698"/>
    <x v="1"/>
    <x v="1"/>
    <x v="29"/>
    <x v="2"/>
    <x v="2"/>
    <x v="2"/>
    <x v="1"/>
    <x v="2"/>
    <x v="2"/>
    <x v="2"/>
    <x v="1"/>
    <x v="5"/>
    <x v="2"/>
    <x v="2"/>
    <x v="2"/>
    <x v="2"/>
    <x v="2"/>
    <x v="0"/>
  </r>
  <r>
    <x v="699"/>
    <x v="0"/>
    <x v="2"/>
    <x v="19"/>
    <x v="4"/>
    <x v="12"/>
    <x v="4"/>
    <x v="0"/>
    <x v="5"/>
    <x v="4"/>
    <x v="5"/>
    <x v="0"/>
    <x v="0"/>
    <x v="43"/>
    <x v="5"/>
    <x v="4"/>
    <x v="5"/>
    <x v="11"/>
    <x v="1"/>
  </r>
  <r>
    <x v="700"/>
    <x v="0"/>
    <x v="1"/>
    <x v="11"/>
    <x v="2"/>
    <x v="2"/>
    <x v="2"/>
    <x v="1"/>
    <x v="2"/>
    <x v="2"/>
    <x v="2"/>
    <x v="1"/>
    <x v="4"/>
    <x v="2"/>
    <x v="2"/>
    <x v="2"/>
    <x v="2"/>
    <x v="2"/>
    <x v="0"/>
  </r>
  <r>
    <x v="701"/>
    <x v="0"/>
    <x v="2"/>
    <x v="30"/>
    <x v="13"/>
    <x v="37"/>
    <x v="25"/>
    <x v="0"/>
    <x v="0"/>
    <x v="3"/>
    <x v="0"/>
    <x v="0"/>
    <x v="0"/>
    <x v="18"/>
    <x v="0"/>
    <x v="3"/>
    <x v="0"/>
    <x v="3"/>
    <x v="2"/>
  </r>
  <r>
    <x v="702"/>
    <x v="0"/>
    <x v="2"/>
    <x v="23"/>
    <x v="9"/>
    <x v="26"/>
    <x v="21"/>
    <x v="0"/>
    <x v="5"/>
    <x v="5"/>
    <x v="3"/>
    <x v="1"/>
    <x v="2"/>
    <x v="2"/>
    <x v="5"/>
    <x v="5"/>
    <x v="3"/>
    <x v="2"/>
    <x v="0"/>
  </r>
  <r>
    <x v="703"/>
    <x v="1"/>
    <x v="0"/>
    <x v="9"/>
    <x v="19"/>
    <x v="11"/>
    <x v="29"/>
    <x v="0"/>
    <x v="3"/>
    <x v="1"/>
    <x v="1"/>
    <x v="0"/>
    <x v="0"/>
    <x v="1"/>
    <x v="3"/>
    <x v="1"/>
    <x v="1"/>
    <x v="0"/>
    <x v="0"/>
  </r>
  <r>
    <x v="704"/>
    <x v="3"/>
    <x v="0"/>
    <x v="15"/>
    <x v="12"/>
    <x v="0"/>
    <x v="35"/>
    <x v="0"/>
    <x v="1"/>
    <x v="5"/>
    <x v="5"/>
    <x v="0"/>
    <x v="0"/>
    <x v="0"/>
    <x v="1"/>
    <x v="5"/>
    <x v="5"/>
    <x v="3"/>
    <x v="2"/>
  </r>
  <r>
    <x v="705"/>
    <x v="3"/>
    <x v="0"/>
    <x v="13"/>
    <x v="30"/>
    <x v="21"/>
    <x v="14"/>
    <x v="0"/>
    <x v="1"/>
    <x v="1"/>
    <x v="3"/>
    <x v="0"/>
    <x v="0"/>
    <x v="34"/>
    <x v="1"/>
    <x v="1"/>
    <x v="3"/>
    <x v="0"/>
    <x v="0"/>
  </r>
  <r>
    <x v="706"/>
    <x v="2"/>
    <x v="0"/>
    <x v="25"/>
    <x v="15"/>
    <x v="30"/>
    <x v="25"/>
    <x v="0"/>
    <x v="0"/>
    <x v="0"/>
    <x v="3"/>
    <x v="0"/>
    <x v="0"/>
    <x v="39"/>
    <x v="0"/>
    <x v="0"/>
    <x v="3"/>
    <x v="5"/>
    <x v="0"/>
  </r>
  <r>
    <x v="707"/>
    <x v="1"/>
    <x v="2"/>
    <x v="20"/>
    <x v="10"/>
    <x v="9"/>
    <x v="11"/>
    <x v="0"/>
    <x v="4"/>
    <x v="1"/>
    <x v="4"/>
    <x v="1"/>
    <x v="3"/>
    <x v="2"/>
    <x v="4"/>
    <x v="1"/>
    <x v="4"/>
    <x v="2"/>
    <x v="0"/>
  </r>
  <r>
    <x v="708"/>
    <x v="0"/>
    <x v="2"/>
    <x v="29"/>
    <x v="14"/>
    <x v="11"/>
    <x v="15"/>
    <x v="0"/>
    <x v="5"/>
    <x v="3"/>
    <x v="0"/>
    <x v="0"/>
    <x v="0"/>
    <x v="26"/>
    <x v="5"/>
    <x v="3"/>
    <x v="0"/>
    <x v="0"/>
    <x v="0"/>
  </r>
  <r>
    <x v="709"/>
    <x v="1"/>
    <x v="0"/>
    <x v="1"/>
    <x v="1"/>
    <x v="11"/>
    <x v="22"/>
    <x v="0"/>
    <x v="1"/>
    <x v="0"/>
    <x v="4"/>
    <x v="0"/>
    <x v="0"/>
    <x v="33"/>
    <x v="1"/>
    <x v="0"/>
    <x v="4"/>
    <x v="5"/>
    <x v="0"/>
  </r>
  <r>
    <x v="710"/>
    <x v="2"/>
    <x v="0"/>
    <x v="15"/>
    <x v="28"/>
    <x v="15"/>
    <x v="26"/>
    <x v="0"/>
    <x v="0"/>
    <x v="5"/>
    <x v="3"/>
    <x v="0"/>
    <x v="0"/>
    <x v="43"/>
    <x v="0"/>
    <x v="5"/>
    <x v="3"/>
    <x v="1"/>
    <x v="1"/>
  </r>
  <r>
    <x v="711"/>
    <x v="2"/>
    <x v="0"/>
    <x v="4"/>
    <x v="24"/>
    <x v="25"/>
    <x v="15"/>
    <x v="0"/>
    <x v="4"/>
    <x v="4"/>
    <x v="5"/>
    <x v="0"/>
    <x v="0"/>
    <x v="3"/>
    <x v="4"/>
    <x v="4"/>
    <x v="5"/>
    <x v="0"/>
    <x v="0"/>
  </r>
  <r>
    <x v="712"/>
    <x v="1"/>
    <x v="2"/>
    <x v="14"/>
    <x v="15"/>
    <x v="14"/>
    <x v="14"/>
    <x v="0"/>
    <x v="3"/>
    <x v="1"/>
    <x v="6"/>
    <x v="0"/>
    <x v="0"/>
    <x v="20"/>
    <x v="3"/>
    <x v="1"/>
    <x v="6"/>
    <x v="7"/>
    <x v="0"/>
  </r>
  <r>
    <x v="713"/>
    <x v="1"/>
    <x v="0"/>
    <x v="28"/>
    <x v="27"/>
    <x v="14"/>
    <x v="19"/>
    <x v="0"/>
    <x v="4"/>
    <x v="3"/>
    <x v="1"/>
    <x v="0"/>
    <x v="0"/>
    <x v="39"/>
    <x v="4"/>
    <x v="3"/>
    <x v="1"/>
    <x v="1"/>
    <x v="1"/>
  </r>
  <r>
    <x v="714"/>
    <x v="1"/>
    <x v="2"/>
    <x v="13"/>
    <x v="13"/>
    <x v="36"/>
    <x v="25"/>
    <x v="0"/>
    <x v="3"/>
    <x v="4"/>
    <x v="1"/>
    <x v="0"/>
    <x v="0"/>
    <x v="39"/>
    <x v="3"/>
    <x v="4"/>
    <x v="1"/>
    <x v="11"/>
    <x v="1"/>
  </r>
  <r>
    <x v="715"/>
    <x v="3"/>
    <x v="2"/>
    <x v="19"/>
    <x v="11"/>
    <x v="31"/>
    <x v="26"/>
    <x v="0"/>
    <x v="0"/>
    <x v="4"/>
    <x v="4"/>
    <x v="0"/>
    <x v="0"/>
    <x v="44"/>
    <x v="0"/>
    <x v="4"/>
    <x v="4"/>
    <x v="11"/>
    <x v="1"/>
  </r>
  <r>
    <x v="716"/>
    <x v="0"/>
    <x v="0"/>
    <x v="21"/>
    <x v="5"/>
    <x v="28"/>
    <x v="5"/>
    <x v="0"/>
    <x v="4"/>
    <x v="0"/>
    <x v="6"/>
    <x v="0"/>
    <x v="0"/>
    <x v="32"/>
    <x v="4"/>
    <x v="0"/>
    <x v="6"/>
    <x v="3"/>
    <x v="2"/>
  </r>
  <r>
    <x v="717"/>
    <x v="1"/>
    <x v="2"/>
    <x v="10"/>
    <x v="34"/>
    <x v="4"/>
    <x v="13"/>
    <x v="0"/>
    <x v="0"/>
    <x v="5"/>
    <x v="4"/>
    <x v="0"/>
    <x v="0"/>
    <x v="42"/>
    <x v="0"/>
    <x v="5"/>
    <x v="4"/>
    <x v="11"/>
    <x v="1"/>
  </r>
  <r>
    <x v="718"/>
    <x v="1"/>
    <x v="2"/>
    <x v="9"/>
    <x v="19"/>
    <x v="23"/>
    <x v="12"/>
    <x v="0"/>
    <x v="3"/>
    <x v="4"/>
    <x v="1"/>
    <x v="0"/>
    <x v="0"/>
    <x v="25"/>
    <x v="3"/>
    <x v="4"/>
    <x v="1"/>
    <x v="0"/>
    <x v="0"/>
  </r>
  <r>
    <x v="719"/>
    <x v="1"/>
    <x v="0"/>
    <x v="16"/>
    <x v="5"/>
    <x v="16"/>
    <x v="5"/>
    <x v="0"/>
    <x v="1"/>
    <x v="3"/>
    <x v="0"/>
    <x v="0"/>
    <x v="0"/>
    <x v="20"/>
    <x v="1"/>
    <x v="3"/>
    <x v="0"/>
    <x v="11"/>
    <x v="1"/>
  </r>
  <r>
    <x v="720"/>
    <x v="2"/>
    <x v="0"/>
    <x v="16"/>
    <x v="5"/>
    <x v="27"/>
    <x v="17"/>
    <x v="0"/>
    <x v="1"/>
    <x v="1"/>
    <x v="1"/>
    <x v="0"/>
    <x v="0"/>
    <x v="14"/>
    <x v="1"/>
    <x v="1"/>
    <x v="1"/>
    <x v="8"/>
    <x v="0"/>
  </r>
  <r>
    <x v="721"/>
    <x v="2"/>
    <x v="0"/>
    <x v="20"/>
    <x v="4"/>
    <x v="7"/>
    <x v="40"/>
    <x v="0"/>
    <x v="3"/>
    <x v="1"/>
    <x v="1"/>
    <x v="0"/>
    <x v="0"/>
    <x v="43"/>
    <x v="3"/>
    <x v="1"/>
    <x v="1"/>
    <x v="5"/>
    <x v="0"/>
  </r>
  <r>
    <x v="722"/>
    <x v="3"/>
    <x v="2"/>
    <x v="17"/>
    <x v="1"/>
    <x v="1"/>
    <x v="15"/>
    <x v="0"/>
    <x v="5"/>
    <x v="1"/>
    <x v="6"/>
    <x v="0"/>
    <x v="0"/>
    <x v="24"/>
    <x v="5"/>
    <x v="1"/>
    <x v="6"/>
    <x v="9"/>
    <x v="0"/>
  </r>
  <r>
    <x v="723"/>
    <x v="0"/>
    <x v="2"/>
    <x v="5"/>
    <x v="10"/>
    <x v="7"/>
    <x v="4"/>
    <x v="0"/>
    <x v="5"/>
    <x v="0"/>
    <x v="4"/>
    <x v="0"/>
    <x v="0"/>
    <x v="1"/>
    <x v="5"/>
    <x v="0"/>
    <x v="4"/>
    <x v="8"/>
    <x v="0"/>
  </r>
  <r>
    <x v="724"/>
    <x v="3"/>
    <x v="2"/>
    <x v="14"/>
    <x v="27"/>
    <x v="14"/>
    <x v="6"/>
    <x v="0"/>
    <x v="1"/>
    <x v="3"/>
    <x v="3"/>
    <x v="0"/>
    <x v="0"/>
    <x v="17"/>
    <x v="1"/>
    <x v="3"/>
    <x v="3"/>
    <x v="4"/>
    <x v="2"/>
  </r>
  <r>
    <x v="725"/>
    <x v="0"/>
    <x v="2"/>
    <x v="17"/>
    <x v="20"/>
    <x v="21"/>
    <x v="19"/>
    <x v="0"/>
    <x v="1"/>
    <x v="4"/>
    <x v="5"/>
    <x v="0"/>
    <x v="0"/>
    <x v="38"/>
    <x v="1"/>
    <x v="4"/>
    <x v="5"/>
    <x v="1"/>
    <x v="1"/>
  </r>
  <r>
    <x v="726"/>
    <x v="2"/>
    <x v="0"/>
    <x v="20"/>
    <x v="10"/>
    <x v="4"/>
    <x v="4"/>
    <x v="0"/>
    <x v="4"/>
    <x v="3"/>
    <x v="3"/>
    <x v="0"/>
    <x v="0"/>
    <x v="31"/>
    <x v="4"/>
    <x v="3"/>
    <x v="3"/>
    <x v="4"/>
    <x v="2"/>
  </r>
  <r>
    <x v="727"/>
    <x v="2"/>
    <x v="1"/>
    <x v="5"/>
    <x v="2"/>
    <x v="2"/>
    <x v="2"/>
    <x v="1"/>
    <x v="2"/>
    <x v="2"/>
    <x v="2"/>
    <x v="1"/>
    <x v="3"/>
    <x v="2"/>
    <x v="2"/>
    <x v="2"/>
    <x v="2"/>
    <x v="2"/>
    <x v="0"/>
  </r>
  <r>
    <x v="728"/>
    <x v="2"/>
    <x v="0"/>
    <x v="8"/>
    <x v="34"/>
    <x v="9"/>
    <x v="37"/>
    <x v="0"/>
    <x v="4"/>
    <x v="0"/>
    <x v="0"/>
    <x v="0"/>
    <x v="0"/>
    <x v="53"/>
    <x v="4"/>
    <x v="0"/>
    <x v="0"/>
    <x v="9"/>
    <x v="0"/>
  </r>
  <r>
    <x v="729"/>
    <x v="3"/>
    <x v="0"/>
    <x v="6"/>
    <x v="22"/>
    <x v="16"/>
    <x v="5"/>
    <x v="0"/>
    <x v="1"/>
    <x v="0"/>
    <x v="0"/>
    <x v="0"/>
    <x v="0"/>
    <x v="24"/>
    <x v="1"/>
    <x v="0"/>
    <x v="0"/>
    <x v="3"/>
    <x v="2"/>
  </r>
  <r>
    <x v="730"/>
    <x v="1"/>
    <x v="0"/>
    <x v="8"/>
    <x v="32"/>
    <x v="38"/>
    <x v="23"/>
    <x v="0"/>
    <x v="5"/>
    <x v="5"/>
    <x v="4"/>
    <x v="0"/>
    <x v="0"/>
    <x v="47"/>
    <x v="5"/>
    <x v="5"/>
    <x v="4"/>
    <x v="10"/>
    <x v="0"/>
  </r>
  <r>
    <x v="731"/>
    <x v="1"/>
    <x v="0"/>
    <x v="19"/>
    <x v="28"/>
    <x v="31"/>
    <x v="0"/>
    <x v="0"/>
    <x v="4"/>
    <x v="3"/>
    <x v="3"/>
    <x v="0"/>
    <x v="0"/>
    <x v="23"/>
    <x v="4"/>
    <x v="3"/>
    <x v="3"/>
    <x v="1"/>
    <x v="1"/>
  </r>
  <r>
    <x v="732"/>
    <x v="2"/>
    <x v="0"/>
    <x v="29"/>
    <x v="17"/>
    <x v="20"/>
    <x v="15"/>
    <x v="0"/>
    <x v="3"/>
    <x v="1"/>
    <x v="1"/>
    <x v="0"/>
    <x v="0"/>
    <x v="25"/>
    <x v="3"/>
    <x v="1"/>
    <x v="1"/>
    <x v="5"/>
    <x v="0"/>
  </r>
  <r>
    <x v="733"/>
    <x v="1"/>
    <x v="0"/>
    <x v="15"/>
    <x v="25"/>
    <x v="15"/>
    <x v="0"/>
    <x v="0"/>
    <x v="4"/>
    <x v="0"/>
    <x v="6"/>
    <x v="0"/>
    <x v="0"/>
    <x v="23"/>
    <x v="4"/>
    <x v="0"/>
    <x v="6"/>
    <x v="8"/>
    <x v="0"/>
  </r>
  <r>
    <x v="734"/>
    <x v="1"/>
    <x v="0"/>
    <x v="3"/>
    <x v="11"/>
    <x v="22"/>
    <x v="18"/>
    <x v="0"/>
    <x v="4"/>
    <x v="0"/>
    <x v="4"/>
    <x v="0"/>
    <x v="0"/>
    <x v="6"/>
    <x v="4"/>
    <x v="0"/>
    <x v="4"/>
    <x v="8"/>
    <x v="0"/>
  </r>
  <r>
    <x v="735"/>
    <x v="3"/>
    <x v="2"/>
    <x v="1"/>
    <x v="19"/>
    <x v="17"/>
    <x v="16"/>
    <x v="0"/>
    <x v="4"/>
    <x v="5"/>
    <x v="4"/>
    <x v="0"/>
    <x v="0"/>
    <x v="32"/>
    <x v="4"/>
    <x v="5"/>
    <x v="4"/>
    <x v="3"/>
    <x v="2"/>
  </r>
  <r>
    <x v="736"/>
    <x v="0"/>
    <x v="0"/>
    <x v="19"/>
    <x v="11"/>
    <x v="4"/>
    <x v="4"/>
    <x v="0"/>
    <x v="0"/>
    <x v="1"/>
    <x v="3"/>
    <x v="0"/>
    <x v="0"/>
    <x v="14"/>
    <x v="0"/>
    <x v="1"/>
    <x v="3"/>
    <x v="6"/>
    <x v="0"/>
  </r>
  <r>
    <x v="737"/>
    <x v="2"/>
    <x v="1"/>
    <x v="7"/>
    <x v="2"/>
    <x v="2"/>
    <x v="2"/>
    <x v="1"/>
    <x v="2"/>
    <x v="2"/>
    <x v="2"/>
    <x v="1"/>
    <x v="2"/>
    <x v="2"/>
    <x v="2"/>
    <x v="2"/>
    <x v="2"/>
    <x v="2"/>
    <x v="0"/>
  </r>
  <r>
    <x v="738"/>
    <x v="2"/>
    <x v="2"/>
    <x v="11"/>
    <x v="24"/>
    <x v="6"/>
    <x v="1"/>
    <x v="0"/>
    <x v="3"/>
    <x v="0"/>
    <x v="5"/>
    <x v="0"/>
    <x v="0"/>
    <x v="18"/>
    <x v="3"/>
    <x v="0"/>
    <x v="5"/>
    <x v="11"/>
    <x v="1"/>
  </r>
  <r>
    <x v="739"/>
    <x v="3"/>
    <x v="2"/>
    <x v="8"/>
    <x v="35"/>
    <x v="4"/>
    <x v="23"/>
    <x v="0"/>
    <x v="1"/>
    <x v="4"/>
    <x v="0"/>
    <x v="0"/>
    <x v="0"/>
    <x v="52"/>
    <x v="1"/>
    <x v="4"/>
    <x v="0"/>
    <x v="11"/>
    <x v="1"/>
  </r>
  <r>
    <x v="740"/>
    <x v="3"/>
    <x v="0"/>
    <x v="25"/>
    <x v="30"/>
    <x v="21"/>
    <x v="22"/>
    <x v="0"/>
    <x v="5"/>
    <x v="1"/>
    <x v="1"/>
    <x v="0"/>
    <x v="0"/>
    <x v="4"/>
    <x v="5"/>
    <x v="1"/>
    <x v="1"/>
    <x v="10"/>
    <x v="0"/>
  </r>
  <r>
    <x v="741"/>
    <x v="1"/>
    <x v="0"/>
    <x v="13"/>
    <x v="21"/>
    <x v="21"/>
    <x v="16"/>
    <x v="0"/>
    <x v="5"/>
    <x v="3"/>
    <x v="6"/>
    <x v="0"/>
    <x v="0"/>
    <x v="26"/>
    <x v="5"/>
    <x v="3"/>
    <x v="6"/>
    <x v="0"/>
    <x v="0"/>
  </r>
  <r>
    <x v="742"/>
    <x v="2"/>
    <x v="0"/>
    <x v="22"/>
    <x v="28"/>
    <x v="15"/>
    <x v="35"/>
    <x v="0"/>
    <x v="1"/>
    <x v="5"/>
    <x v="0"/>
    <x v="0"/>
    <x v="0"/>
    <x v="25"/>
    <x v="1"/>
    <x v="5"/>
    <x v="0"/>
    <x v="0"/>
    <x v="0"/>
  </r>
  <r>
    <x v="743"/>
    <x v="0"/>
    <x v="0"/>
    <x v="8"/>
    <x v="8"/>
    <x v="7"/>
    <x v="40"/>
    <x v="0"/>
    <x v="0"/>
    <x v="4"/>
    <x v="1"/>
    <x v="0"/>
    <x v="0"/>
    <x v="44"/>
    <x v="0"/>
    <x v="4"/>
    <x v="1"/>
    <x v="10"/>
    <x v="0"/>
  </r>
  <r>
    <x v="744"/>
    <x v="3"/>
    <x v="2"/>
    <x v="24"/>
    <x v="19"/>
    <x v="23"/>
    <x v="14"/>
    <x v="0"/>
    <x v="5"/>
    <x v="4"/>
    <x v="4"/>
    <x v="0"/>
    <x v="0"/>
    <x v="11"/>
    <x v="5"/>
    <x v="4"/>
    <x v="4"/>
    <x v="7"/>
    <x v="0"/>
  </r>
  <r>
    <x v="745"/>
    <x v="0"/>
    <x v="0"/>
    <x v="3"/>
    <x v="11"/>
    <x v="10"/>
    <x v="11"/>
    <x v="0"/>
    <x v="4"/>
    <x v="3"/>
    <x v="5"/>
    <x v="0"/>
    <x v="0"/>
    <x v="30"/>
    <x v="4"/>
    <x v="3"/>
    <x v="5"/>
    <x v="3"/>
    <x v="2"/>
  </r>
  <r>
    <x v="746"/>
    <x v="0"/>
    <x v="0"/>
    <x v="26"/>
    <x v="12"/>
    <x v="0"/>
    <x v="24"/>
    <x v="0"/>
    <x v="5"/>
    <x v="5"/>
    <x v="4"/>
    <x v="1"/>
    <x v="5"/>
    <x v="2"/>
    <x v="5"/>
    <x v="5"/>
    <x v="4"/>
    <x v="2"/>
    <x v="0"/>
  </r>
  <r>
    <x v="747"/>
    <x v="2"/>
    <x v="1"/>
    <x v="15"/>
    <x v="2"/>
    <x v="2"/>
    <x v="2"/>
    <x v="1"/>
    <x v="2"/>
    <x v="2"/>
    <x v="2"/>
    <x v="1"/>
    <x v="4"/>
    <x v="2"/>
    <x v="2"/>
    <x v="2"/>
    <x v="2"/>
    <x v="2"/>
    <x v="0"/>
  </r>
  <r>
    <x v="748"/>
    <x v="2"/>
    <x v="0"/>
    <x v="26"/>
    <x v="18"/>
    <x v="18"/>
    <x v="26"/>
    <x v="0"/>
    <x v="3"/>
    <x v="0"/>
    <x v="5"/>
    <x v="0"/>
    <x v="0"/>
    <x v="3"/>
    <x v="3"/>
    <x v="0"/>
    <x v="5"/>
    <x v="11"/>
    <x v="1"/>
  </r>
  <r>
    <x v="749"/>
    <x v="3"/>
    <x v="2"/>
    <x v="27"/>
    <x v="1"/>
    <x v="20"/>
    <x v="19"/>
    <x v="0"/>
    <x v="3"/>
    <x v="5"/>
    <x v="3"/>
    <x v="0"/>
    <x v="0"/>
    <x v="29"/>
    <x v="3"/>
    <x v="5"/>
    <x v="3"/>
    <x v="6"/>
    <x v="0"/>
  </r>
  <r>
    <x v="750"/>
    <x v="2"/>
    <x v="2"/>
    <x v="8"/>
    <x v="35"/>
    <x v="38"/>
    <x v="34"/>
    <x v="0"/>
    <x v="1"/>
    <x v="0"/>
    <x v="1"/>
    <x v="0"/>
    <x v="0"/>
    <x v="54"/>
    <x v="1"/>
    <x v="0"/>
    <x v="1"/>
    <x v="11"/>
    <x v="1"/>
  </r>
  <r>
    <x v="751"/>
    <x v="2"/>
    <x v="2"/>
    <x v="3"/>
    <x v="10"/>
    <x v="4"/>
    <x v="23"/>
    <x v="0"/>
    <x v="0"/>
    <x v="3"/>
    <x v="0"/>
    <x v="0"/>
    <x v="0"/>
    <x v="23"/>
    <x v="0"/>
    <x v="3"/>
    <x v="0"/>
    <x v="8"/>
    <x v="0"/>
  </r>
  <r>
    <x v="752"/>
    <x v="2"/>
    <x v="0"/>
    <x v="19"/>
    <x v="11"/>
    <x v="10"/>
    <x v="35"/>
    <x v="0"/>
    <x v="0"/>
    <x v="3"/>
    <x v="4"/>
    <x v="0"/>
    <x v="0"/>
    <x v="31"/>
    <x v="0"/>
    <x v="3"/>
    <x v="4"/>
    <x v="8"/>
    <x v="0"/>
  </r>
  <r>
    <x v="753"/>
    <x v="0"/>
    <x v="2"/>
    <x v="21"/>
    <x v="18"/>
    <x v="28"/>
    <x v="9"/>
    <x v="0"/>
    <x v="5"/>
    <x v="4"/>
    <x v="5"/>
    <x v="0"/>
    <x v="0"/>
    <x v="24"/>
    <x v="5"/>
    <x v="4"/>
    <x v="5"/>
    <x v="3"/>
    <x v="2"/>
  </r>
  <r>
    <x v="754"/>
    <x v="3"/>
    <x v="0"/>
    <x v="9"/>
    <x v="24"/>
    <x v="25"/>
    <x v="15"/>
    <x v="0"/>
    <x v="0"/>
    <x v="4"/>
    <x v="5"/>
    <x v="0"/>
    <x v="0"/>
    <x v="11"/>
    <x v="0"/>
    <x v="4"/>
    <x v="5"/>
    <x v="5"/>
    <x v="0"/>
  </r>
  <r>
    <x v="755"/>
    <x v="1"/>
    <x v="0"/>
    <x v="25"/>
    <x v="15"/>
    <x v="5"/>
    <x v="31"/>
    <x v="0"/>
    <x v="0"/>
    <x v="4"/>
    <x v="4"/>
    <x v="0"/>
    <x v="0"/>
    <x v="41"/>
    <x v="0"/>
    <x v="4"/>
    <x v="4"/>
    <x v="7"/>
    <x v="0"/>
  </r>
  <r>
    <x v="756"/>
    <x v="0"/>
    <x v="2"/>
    <x v="19"/>
    <x v="4"/>
    <x v="22"/>
    <x v="11"/>
    <x v="0"/>
    <x v="5"/>
    <x v="3"/>
    <x v="0"/>
    <x v="0"/>
    <x v="0"/>
    <x v="31"/>
    <x v="5"/>
    <x v="3"/>
    <x v="0"/>
    <x v="11"/>
    <x v="1"/>
  </r>
  <r>
    <x v="757"/>
    <x v="2"/>
    <x v="2"/>
    <x v="27"/>
    <x v="1"/>
    <x v="11"/>
    <x v="29"/>
    <x v="0"/>
    <x v="3"/>
    <x v="0"/>
    <x v="1"/>
    <x v="0"/>
    <x v="0"/>
    <x v="42"/>
    <x v="3"/>
    <x v="0"/>
    <x v="1"/>
    <x v="5"/>
    <x v="0"/>
  </r>
  <r>
    <x v="758"/>
    <x v="0"/>
    <x v="2"/>
    <x v="2"/>
    <x v="33"/>
    <x v="29"/>
    <x v="36"/>
    <x v="0"/>
    <x v="4"/>
    <x v="3"/>
    <x v="3"/>
    <x v="0"/>
    <x v="0"/>
    <x v="22"/>
    <x v="4"/>
    <x v="3"/>
    <x v="3"/>
    <x v="5"/>
    <x v="0"/>
  </r>
  <r>
    <x v="759"/>
    <x v="2"/>
    <x v="1"/>
    <x v="17"/>
    <x v="2"/>
    <x v="2"/>
    <x v="2"/>
    <x v="1"/>
    <x v="2"/>
    <x v="2"/>
    <x v="2"/>
    <x v="1"/>
    <x v="4"/>
    <x v="2"/>
    <x v="2"/>
    <x v="2"/>
    <x v="2"/>
    <x v="2"/>
    <x v="0"/>
  </r>
  <r>
    <x v="760"/>
    <x v="2"/>
    <x v="2"/>
    <x v="21"/>
    <x v="16"/>
    <x v="28"/>
    <x v="33"/>
    <x v="0"/>
    <x v="1"/>
    <x v="3"/>
    <x v="3"/>
    <x v="0"/>
    <x v="0"/>
    <x v="30"/>
    <x v="1"/>
    <x v="3"/>
    <x v="3"/>
    <x v="0"/>
    <x v="0"/>
  </r>
  <r>
    <x v="761"/>
    <x v="0"/>
    <x v="0"/>
    <x v="7"/>
    <x v="6"/>
    <x v="29"/>
    <x v="31"/>
    <x v="0"/>
    <x v="3"/>
    <x v="4"/>
    <x v="6"/>
    <x v="0"/>
    <x v="0"/>
    <x v="29"/>
    <x v="3"/>
    <x v="4"/>
    <x v="6"/>
    <x v="1"/>
    <x v="1"/>
  </r>
  <r>
    <x v="762"/>
    <x v="3"/>
    <x v="1"/>
    <x v="11"/>
    <x v="2"/>
    <x v="2"/>
    <x v="2"/>
    <x v="1"/>
    <x v="2"/>
    <x v="2"/>
    <x v="2"/>
    <x v="1"/>
    <x v="3"/>
    <x v="2"/>
    <x v="2"/>
    <x v="2"/>
    <x v="2"/>
    <x v="2"/>
    <x v="0"/>
  </r>
  <r>
    <x v="763"/>
    <x v="2"/>
    <x v="0"/>
    <x v="9"/>
    <x v="24"/>
    <x v="11"/>
    <x v="32"/>
    <x v="0"/>
    <x v="0"/>
    <x v="5"/>
    <x v="6"/>
    <x v="1"/>
    <x v="4"/>
    <x v="2"/>
    <x v="0"/>
    <x v="5"/>
    <x v="6"/>
    <x v="2"/>
    <x v="0"/>
  </r>
  <r>
    <x v="764"/>
    <x v="3"/>
    <x v="1"/>
    <x v="26"/>
    <x v="2"/>
    <x v="2"/>
    <x v="2"/>
    <x v="1"/>
    <x v="2"/>
    <x v="2"/>
    <x v="2"/>
    <x v="1"/>
    <x v="2"/>
    <x v="2"/>
    <x v="2"/>
    <x v="2"/>
    <x v="2"/>
    <x v="2"/>
    <x v="0"/>
  </r>
  <r>
    <x v="765"/>
    <x v="1"/>
    <x v="0"/>
    <x v="15"/>
    <x v="28"/>
    <x v="0"/>
    <x v="26"/>
    <x v="0"/>
    <x v="0"/>
    <x v="4"/>
    <x v="6"/>
    <x v="0"/>
    <x v="0"/>
    <x v="14"/>
    <x v="0"/>
    <x v="4"/>
    <x v="6"/>
    <x v="10"/>
    <x v="0"/>
  </r>
  <r>
    <x v="766"/>
    <x v="2"/>
    <x v="1"/>
    <x v="26"/>
    <x v="2"/>
    <x v="2"/>
    <x v="2"/>
    <x v="1"/>
    <x v="2"/>
    <x v="2"/>
    <x v="2"/>
    <x v="1"/>
    <x v="5"/>
    <x v="2"/>
    <x v="2"/>
    <x v="2"/>
    <x v="2"/>
    <x v="2"/>
    <x v="0"/>
  </r>
  <r>
    <x v="767"/>
    <x v="3"/>
    <x v="2"/>
    <x v="17"/>
    <x v="1"/>
    <x v="20"/>
    <x v="12"/>
    <x v="0"/>
    <x v="5"/>
    <x v="5"/>
    <x v="0"/>
    <x v="0"/>
    <x v="0"/>
    <x v="15"/>
    <x v="5"/>
    <x v="5"/>
    <x v="0"/>
    <x v="6"/>
    <x v="0"/>
  </r>
  <r>
    <x v="768"/>
    <x v="3"/>
    <x v="2"/>
    <x v="23"/>
    <x v="31"/>
    <x v="26"/>
    <x v="26"/>
    <x v="0"/>
    <x v="1"/>
    <x v="0"/>
    <x v="1"/>
    <x v="0"/>
    <x v="0"/>
    <x v="19"/>
    <x v="1"/>
    <x v="0"/>
    <x v="1"/>
    <x v="8"/>
    <x v="0"/>
  </r>
  <r>
    <x v="769"/>
    <x v="1"/>
    <x v="0"/>
    <x v="27"/>
    <x v="14"/>
    <x v="1"/>
    <x v="1"/>
    <x v="0"/>
    <x v="4"/>
    <x v="0"/>
    <x v="1"/>
    <x v="0"/>
    <x v="0"/>
    <x v="25"/>
    <x v="4"/>
    <x v="0"/>
    <x v="1"/>
    <x v="6"/>
    <x v="0"/>
  </r>
  <r>
    <x v="770"/>
    <x v="3"/>
    <x v="1"/>
    <x v="5"/>
    <x v="2"/>
    <x v="2"/>
    <x v="2"/>
    <x v="1"/>
    <x v="2"/>
    <x v="2"/>
    <x v="2"/>
    <x v="1"/>
    <x v="2"/>
    <x v="2"/>
    <x v="2"/>
    <x v="2"/>
    <x v="2"/>
    <x v="2"/>
    <x v="0"/>
  </r>
  <r>
    <x v="771"/>
    <x v="3"/>
    <x v="1"/>
    <x v="0"/>
    <x v="2"/>
    <x v="2"/>
    <x v="2"/>
    <x v="1"/>
    <x v="2"/>
    <x v="2"/>
    <x v="2"/>
    <x v="1"/>
    <x v="1"/>
    <x v="2"/>
    <x v="2"/>
    <x v="2"/>
    <x v="2"/>
    <x v="2"/>
    <x v="0"/>
  </r>
  <r>
    <x v="772"/>
    <x v="1"/>
    <x v="2"/>
    <x v="8"/>
    <x v="32"/>
    <x v="39"/>
    <x v="34"/>
    <x v="0"/>
    <x v="5"/>
    <x v="1"/>
    <x v="6"/>
    <x v="0"/>
    <x v="0"/>
    <x v="51"/>
    <x v="5"/>
    <x v="1"/>
    <x v="6"/>
    <x v="8"/>
    <x v="0"/>
  </r>
  <r>
    <x v="773"/>
    <x v="2"/>
    <x v="2"/>
    <x v="9"/>
    <x v="7"/>
    <x v="24"/>
    <x v="1"/>
    <x v="0"/>
    <x v="5"/>
    <x v="1"/>
    <x v="6"/>
    <x v="0"/>
    <x v="0"/>
    <x v="12"/>
    <x v="5"/>
    <x v="1"/>
    <x v="6"/>
    <x v="10"/>
    <x v="0"/>
  </r>
  <r>
    <x v="774"/>
    <x v="3"/>
    <x v="1"/>
    <x v="7"/>
    <x v="2"/>
    <x v="2"/>
    <x v="2"/>
    <x v="1"/>
    <x v="2"/>
    <x v="2"/>
    <x v="2"/>
    <x v="1"/>
    <x v="3"/>
    <x v="2"/>
    <x v="2"/>
    <x v="2"/>
    <x v="2"/>
    <x v="2"/>
    <x v="0"/>
  </r>
  <r>
    <x v="775"/>
    <x v="3"/>
    <x v="2"/>
    <x v="26"/>
    <x v="9"/>
    <x v="0"/>
    <x v="0"/>
    <x v="0"/>
    <x v="4"/>
    <x v="1"/>
    <x v="0"/>
    <x v="0"/>
    <x v="0"/>
    <x v="21"/>
    <x v="4"/>
    <x v="1"/>
    <x v="0"/>
    <x v="4"/>
    <x v="2"/>
  </r>
  <r>
    <x v="776"/>
    <x v="3"/>
    <x v="0"/>
    <x v="24"/>
    <x v="21"/>
    <x v="23"/>
    <x v="27"/>
    <x v="0"/>
    <x v="4"/>
    <x v="0"/>
    <x v="6"/>
    <x v="0"/>
    <x v="0"/>
    <x v="42"/>
    <x v="4"/>
    <x v="0"/>
    <x v="6"/>
    <x v="10"/>
    <x v="0"/>
  </r>
  <r>
    <x v="777"/>
    <x v="0"/>
    <x v="1"/>
    <x v="6"/>
    <x v="2"/>
    <x v="2"/>
    <x v="2"/>
    <x v="1"/>
    <x v="2"/>
    <x v="2"/>
    <x v="2"/>
    <x v="1"/>
    <x v="4"/>
    <x v="2"/>
    <x v="2"/>
    <x v="2"/>
    <x v="2"/>
    <x v="2"/>
    <x v="0"/>
  </r>
  <r>
    <x v="778"/>
    <x v="1"/>
    <x v="0"/>
    <x v="2"/>
    <x v="6"/>
    <x v="29"/>
    <x v="36"/>
    <x v="0"/>
    <x v="0"/>
    <x v="4"/>
    <x v="3"/>
    <x v="0"/>
    <x v="0"/>
    <x v="22"/>
    <x v="0"/>
    <x v="4"/>
    <x v="3"/>
    <x v="9"/>
    <x v="0"/>
  </r>
  <r>
    <x v="779"/>
    <x v="0"/>
    <x v="0"/>
    <x v="18"/>
    <x v="0"/>
    <x v="26"/>
    <x v="5"/>
    <x v="0"/>
    <x v="5"/>
    <x v="4"/>
    <x v="4"/>
    <x v="0"/>
    <x v="0"/>
    <x v="14"/>
    <x v="5"/>
    <x v="4"/>
    <x v="4"/>
    <x v="0"/>
    <x v="0"/>
  </r>
  <r>
    <x v="780"/>
    <x v="1"/>
    <x v="0"/>
    <x v="10"/>
    <x v="11"/>
    <x v="31"/>
    <x v="0"/>
    <x v="0"/>
    <x v="3"/>
    <x v="4"/>
    <x v="3"/>
    <x v="0"/>
    <x v="0"/>
    <x v="23"/>
    <x v="3"/>
    <x v="4"/>
    <x v="3"/>
    <x v="0"/>
    <x v="0"/>
  </r>
  <r>
    <x v="781"/>
    <x v="2"/>
    <x v="2"/>
    <x v="8"/>
    <x v="10"/>
    <x v="4"/>
    <x v="4"/>
    <x v="0"/>
    <x v="3"/>
    <x v="3"/>
    <x v="3"/>
    <x v="0"/>
    <x v="0"/>
    <x v="31"/>
    <x v="3"/>
    <x v="3"/>
    <x v="3"/>
    <x v="8"/>
    <x v="0"/>
  </r>
  <r>
    <x v="782"/>
    <x v="2"/>
    <x v="1"/>
    <x v="21"/>
    <x v="2"/>
    <x v="2"/>
    <x v="2"/>
    <x v="1"/>
    <x v="2"/>
    <x v="2"/>
    <x v="2"/>
    <x v="1"/>
    <x v="1"/>
    <x v="2"/>
    <x v="2"/>
    <x v="2"/>
    <x v="2"/>
    <x v="2"/>
    <x v="0"/>
  </r>
  <r>
    <x v="783"/>
    <x v="3"/>
    <x v="0"/>
    <x v="1"/>
    <x v="24"/>
    <x v="3"/>
    <x v="33"/>
    <x v="0"/>
    <x v="5"/>
    <x v="1"/>
    <x v="5"/>
    <x v="0"/>
    <x v="0"/>
    <x v="42"/>
    <x v="5"/>
    <x v="1"/>
    <x v="5"/>
    <x v="3"/>
    <x v="2"/>
  </r>
  <r>
    <x v="784"/>
    <x v="1"/>
    <x v="1"/>
    <x v="20"/>
    <x v="2"/>
    <x v="2"/>
    <x v="2"/>
    <x v="1"/>
    <x v="2"/>
    <x v="2"/>
    <x v="2"/>
    <x v="1"/>
    <x v="4"/>
    <x v="2"/>
    <x v="2"/>
    <x v="2"/>
    <x v="2"/>
    <x v="2"/>
    <x v="0"/>
  </r>
  <r>
    <x v="785"/>
    <x v="2"/>
    <x v="2"/>
    <x v="18"/>
    <x v="31"/>
    <x v="16"/>
    <x v="29"/>
    <x v="0"/>
    <x v="4"/>
    <x v="4"/>
    <x v="4"/>
    <x v="0"/>
    <x v="0"/>
    <x v="12"/>
    <x v="4"/>
    <x v="4"/>
    <x v="4"/>
    <x v="11"/>
    <x v="1"/>
  </r>
  <r>
    <x v="786"/>
    <x v="1"/>
    <x v="1"/>
    <x v="24"/>
    <x v="2"/>
    <x v="2"/>
    <x v="2"/>
    <x v="1"/>
    <x v="2"/>
    <x v="2"/>
    <x v="2"/>
    <x v="1"/>
    <x v="5"/>
    <x v="2"/>
    <x v="2"/>
    <x v="2"/>
    <x v="2"/>
    <x v="2"/>
    <x v="0"/>
  </r>
  <r>
    <x v="787"/>
    <x v="2"/>
    <x v="0"/>
    <x v="0"/>
    <x v="9"/>
    <x v="0"/>
    <x v="17"/>
    <x v="0"/>
    <x v="1"/>
    <x v="1"/>
    <x v="3"/>
    <x v="0"/>
    <x v="0"/>
    <x v="1"/>
    <x v="1"/>
    <x v="1"/>
    <x v="3"/>
    <x v="9"/>
    <x v="0"/>
  </r>
  <r>
    <x v="788"/>
    <x v="0"/>
    <x v="2"/>
    <x v="25"/>
    <x v="6"/>
    <x v="13"/>
    <x v="28"/>
    <x v="0"/>
    <x v="4"/>
    <x v="1"/>
    <x v="4"/>
    <x v="0"/>
    <x v="0"/>
    <x v="46"/>
    <x v="4"/>
    <x v="1"/>
    <x v="4"/>
    <x v="9"/>
    <x v="0"/>
  </r>
  <r>
    <x v="789"/>
    <x v="2"/>
    <x v="2"/>
    <x v="0"/>
    <x v="18"/>
    <x v="26"/>
    <x v="21"/>
    <x v="0"/>
    <x v="4"/>
    <x v="3"/>
    <x v="3"/>
    <x v="0"/>
    <x v="0"/>
    <x v="19"/>
    <x v="4"/>
    <x v="3"/>
    <x v="3"/>
    <x v="9"/>
    <x v="0"/>
  </r>
  <r>
    <x v="790"/>
    <x v="0"/>
    <x v="0"/>
    <x v="5"/>
    <x v="11"/>
    <x v="22"/>
    <x v="11"/>
    <x v="0"/>
    <x v="1"/>
    <x v="0"/>
    <x v="0"/>
    <x v="0"/>
    <x v="0"/>
    <x v="6"/>
    <x v="1"/>
    <x v="0"/>
    <x v="0"/>
    <x v="7"/>
    <x v="0"/>
  </r>
  <r>
    <x v="791"/>
    <x v="2"/>
    <x v="0"/>
    <x v="11"/>
    <x v="7"/>
    <x v="11"/>
    <x v="15"/>
    <x v="0"/>
    <x v="4"/>
    <x v="4"/>
    <x v="0"/>
    <x v="0"/>
    <x v="0"/>
    <x v="15"/>
    <x v="4"/>
    <x v="4"/>
    <x v="0"/>
    <x v="1"/>
    <x v="1"/>
  </r>
  <r>
    <x v="792"/>
    <x v="3"/>
    <x v="1"/>
    <x v="20"/>
    <x v="2"/>
    <x v="2"/>
    <x v="2"/>
    <x v="1"/>
    <x v="2"/>
    <x v="2"/>
    <x v="2"/>
    <x v="1"/>
    <x v="5"/>
    <x v="2"/>
    <x v="2"/>
    <x v="2"/>
    <x v="2"/>
    <x v="2"/>
    <x v="0"/>
  </r>
  <r>
    <x v="793"/>
    <x v="0"/>
    <x v="2"/>
    <x v="12"/>
    <x v="25"/>
    <x v="0"/>
    <x v="26"/>
    <x v="0"/>
    <x v="1"/>
    <x v="3"/>
    <x v="6"/>
    <x v="0"/>
    <x v="0"/>
    <x v="12"/>
    <x v="1"/>
    <x v="3"/>
    <x v="6"/>
    <x v="10"/>
    <x v="0"/>
  </r>
  <r>
    <x v="794"/>
    <x v="2"/>
    <x v="2"/>
    <x v="29"/>
    <x v="14"/>
    <x v="1"/>
    <x v="3"/>
    <x v="0"/>
    <x v="5"/>
    <x v="0"/>
    <x v="0"/>
    <x v="0"/>
    <x v="0"/>
    <x v="5"/>
    <x v="5"/>
    <x v="0"/>
    <x v="0"/>
    <x v="4"/>
    <x v="2"/>
  </r>
  <r>
    <x v="795"/>
    <x v="3"/>
    <x v="0"/>
    <x v="0"/>
    <x v="9"/>
    <x v="8"/>
    <x v="9"/>
    <x v="0"/>
    <x v="1"/>
    <x v="0"/>
    <x v="4"/>
    <x v="0"/>
    <x v="0"/>
    <x v="19"/>
    <x v="1"/>
    <x v="0"/>
    <x v="4"/>
    <x v="8"/>
    <x v="0"/>
  </r>
  <r>
    <x v="796"/>
    <x v="0"/>
    <x v="0"/>
    <x v="4"/>
    <x v="14"/>
    <x v="20"/>
    <x v="32"/>
    <x v="0"/>
    <x v="3"/>
    <x v="4"/>
    <x v="5"/>
    <x v="0"/>
    <x v="0"/>
    <x v="26"/>
    <x v="3"/>
    <x v="4"/>
    <x v="5"/>
    <x v="1"/>
    <x v="1"/>
  </r>
  <r>
    <x v="797"/>
    <x v="3"/>
    <x v="0"/>
    <x v="7"/>
    <x v="15"/>
    <x v="14"/>
    <x v="14"/>
    <x v="0"/>
    <x v="1"/>
    <x v="1"/>
    <x v="6"/>
    <x v="0"/>
    <x v="0"/>
    <x v="9"/>
    <x v="1"/>
    <x v="1"/>
    <x v="6"/>
    <x v="11"/>
    <x v="1"/>
  </r>
  <r>
    <x v="798"/>
    <x v="1"/>
    <x v="1"/>
    <x v="13"/>
    <x v="2"/>
    <x v="2"/>
    <x v="2"/>
    <x v="1"/>
    <x v="2"/>
    <x v="2"/>
    <x v="2"/>
    <x v="1"/>
    <x v="5"/>
    <x v="2"/>
    <x v="2"/>
    <x v="2"/>
    <x v="2"/>
    <x v="2"/>
    <x v="0"/>
  </r>
  <r>
    <x v="799"/>
    <x v="1"/>
    <x v="1"/>
    <x v="30"/>
    <x v="2"/>
    <x v="2"/>
    <x v="2"/>
    <x v="1"/>
    <x v="2"/>
    <x v="2"/>
    <x v="2"/>
    <x v="1"/>
    <x v="4"/>
    <x v="2"/>
    <x v="2"/>
    <x v="2"/>
    <x v="2"/>
    <x v="2"/>
    <x v="0"/>
  </r>
  <r>
    <x v="800"/>
    <x v="0"/>
    <x v="1"/>
    <x v="8"/>
    <x v="2"/>
    <x v="2"/>
    <x v="2"/>
    <x v="1"/>
    <x v="2"/>
    <x v="2"/>
    <x v="2"/>
    <x v="1"/>
    <x v="1"/>
    <x v="2"/>
    <x v="2"/>
    <x v="2"/>
    <x v="2"/>
    <x v="2"/>
    <x v="0"/>
  </r>
  <r>
    <x v="801"/>
    <x v="2"/>
    <x v="0"/>
    <x v="30"/>
    <x v="26"/>
    <x v="29"/>
    <x v="36"/>
    <x v="0"/>
    <x v="4"/>
    <x v="5"/>
    <x v="3"/>
    <x v="1"/>
    <x v="5"/>
    <x v="2"/>
    <x v="4"/>
    <x v="5"/>
    <x v="3"/>
    <x v="2"/>
    <x v="0"/>
  </r>
  <r>
    <x v="802"/>
    <x v="0"/>
    <x v="0"/>
    <x v="29"/>
    <x v="14"/>
    <x v="6"/>
    <x v="29"/>
    <x v="0"/>
    <x v="5"/>
    <x v="1"/>
    <x v="0"/>
    <x v="0"/>
    <x v="0"/>
    <x v="1"/>
    <x v="5"/>
    <x v="1"/>
    <x v="0"/>
    <x v="4"/>
    <x v="2"/>
  </r>
  <r>
    <x v="803"/>
    <x v="3"/>
    <x v="0"/>
    <x v="6"/>
    <x v="22"/>
    <x v="28"/>
    <x v="5"/>
    <x v="0"/>
    <x v="1"/>
    <x v="1"/>
    <x v="6"/>
    <x v="0"/>
    <x v="0"/>
    <x v="8"/>
    <x v="1"/>
    <x v="1"/>
    <x v="6"/>
    <x v="10"/>
    <x v="0"/>
  </r>
  <r>
    <x v="804"/>
    <x v="2"/>
    <x v="0"/>
    <x v="7"/>
    <x v="13"/>
    <x v="5"/>
    <x v="39"/>
    <x v="0"/>
    <x v="4"/>
    <x v="5"/>
    <x v="0"/>
    <x v="0"/>
    <x v="0"/>
    <x v="46"/>
    <x v="4"/>
    <x v="5"/>
    <x v="0"/>
    <x v="3"/>
    <x v="2"/>
  </r>
  <r>
    <x v="805"/>
    <x v="1"/>
    <x v="1"/>
    <x v="7"/>
    <x v="2"/>
    <x v="2"/>
    <x v="2"/>
    <x v="1"/>
    <x v="2"/>
    <x v="2"/>
    <x v="2"/>
    <x v="1"/>
    <x v="1"/>
    <x v="2"/>
    <x v="2"/>
    <x v="2"/>
    <x v="2"/>
    <x v="2"/>
    <x v="0"/>
  </r>
  <r>
    <x v="806"/>
    <x v="2"/>
    <x v="2"/>
    <x v="24"/>
    <x v="17"/>
    <x v="17"/>
    <x v="19"/>
    <x v="0"/>
    <x v="1"/>
    <x v="0"/>
    <x v="6"/>
    <x v="0"/>
    <x v="0"/>
    <x v="33"/>
    <x v="1"/>
    <x v="0"/>
    <x v="6"/>
    <x v="9"/>
    <x v="0"/>
  </r>
  <r>
    <x v="807"/>
    <x v="1"/>
    <x v="0"/>
    <x v="10"/>
    <x v="35"/>
    <x v="7"/>
    <x v="4"/>
    <x v="0"/>
    <x v="5"/>
    <x v="5"/>
    <x v="4"/>
    <x v="0"/>
    <x v="0"/>
    <x v="0"/>
    <x v="5"/>
    <x v="5"/>
    <x v="4"/>
    <x v="0"/>
    <x v="0"/>
  </r>
  <r>
    <x v="808"/>
    <x v="2"/>
    <x v="2"/>
    <x v="21"/>
    <x v="18"/>
    <x v="27"/>
    <x v="33"/>
    <x v="0"/>
    <x v="5"/>
    <x v="5"/>
    <x v="4"/>
    <x v="0"/>
    <x v="0"/>
    <x v="23"/>
    <x v="5"/>
    <x v="5"/>
    <x v="4"/>
    <x v="7"/>
    <x v="0"/>
  </r>
  <r>
    <x v="809"/>
    <x v="2"/>
    <x v="0"/>
    <x v="13"/>
    <x v="13"/>
    <x v="37"/>
    <x v="28"/>
    <x v="0"/>
    <x v="3"/>
    <x v="3"/>
    <x v="3"/>
    <x v="0"/>
    <x v="0"/>
    <x v="28"/>
    <x v="3"/>
    <x v="3"/>
    <x v="3"/>
    <x v="10"/>
    <x v="0"/>
  </r>
  <r>
    <x v="810"/>
    <x v="2"/>
    <x v="1"/>
    <x v="27"/>
    <x v="2"/>
    <x v="2"/>
    <x v="2"/>
    <x v="1"/>
    <x v="2"/>
    <x v="2"/>
    <x v="2"/>
    <x v="1"/>
    <x v="4"/>
    <x v="2"/>
    <x v="2"/>
    <x v="2"/>
    <x v="2"/>
    <x v="2"/>
    <x v="0"/>
  </r>
  <r>
    <x v="811"/>
    <x v="3"/>
    <x v="0"/>
    <x v="11"/>
    <x v="5"/>
    <x v="16"/>
    <x v="9"/>
    <x v="0"/>
    <x v="5"/>
    <x v="3"/>
    <x v="1"/>
    <x v="0"/>
    <x v="0"/>
    <x v="31"/>
    <x v="5"/>
    <x v="3"/>
    <x v="1"/>
    <x v="11"/>
    <x v="1"/>
  </r>
  <r>
    <x v="812"/>
    <x v="3"/>
    <x v="2"/>
    <x v="9"/>
    <x v="1"/>
    <x v="25"/>
    <x v="12"/>
    <x v="0"/>
    <x v="4"/>
    <x v="3"/>
    <x v="6"/>
    <x v="0"/>
    <x v="0"/>
    <x v="24"/>
    <x v="4"/>
    <x v="3"/>
    <x v="6"/>
    <x v="9"/>
    <x v="0"/>
  </r>
  <r>
    <x v="813"/>
    <x v="0"/>
    <x v="1"/>
    <x v="26"/>
    <x v="2"/>
    <x v="2"/>
    <x v="2"/>
    <x v="1"/>
    <x v="2"/>
    <x v="2"/>
    <x v="2"/>
    <x v="1"/>
    <x v="1"/>
    <x v="2"/>
    <x v="2"/>
    <x v="2"/>
    <x v="2"/>
    <x v="2"/>
    <x v="0"/>
  </r>
  <r>
    <x v="814"/>
    <x v="0"/>
    <x v="0"/>
    <x v="8"/>
    <x v="32"/>
    <x v="19"/>
    <x v="44"/>
    <x v="0"/>
    <x v="5"/>
    <x v="0"/>
    <x v="1"/>
    <x v="0"/>
    <x v="0"/>
    <x v="13"/>
    <x v="5"/>
    <x v="0"/>
    <x v="1"/>
    <x v="0"/>
    <x v="0"/>
  </r>
  <r>
    <x v="815"/>
    <x v="1"/>
    <x v="2"/>
    <x v="15"/>
    <x v="23"/>
    <x v="31"/>
    <x v="4"/>
    <x v="0"/>
    <x v="5"/>
    <x v="5"/>
    <x v="1"/>
    <x v="0"/>
    <x v="0"/>
    <x v="13"/>
    <x v="5"/>
    <x v="5"/>
    <x v="1"/>
    <x v="7"/>
    <x v="0"/>
  </r>
  <r>
    <x v="816"/>
    <x v="3"/>
    <x v="2"/>
    <x v="12"/>
    <x v="0"/>
    <x v="26"/>
    <x v="17"/>
    <x v="0"/>
    <x v="4"/>
    <x v="4"/>
    <x v="5"/>
    <x v="1"/>
    <x v="4"/>
    <x v="2"/>
    <x v="4"/>
    <x v="4"/>
    <x v="5"/>
    <x v="2"/>
    <x v="0"/>
  </r>
  <r>
    <x v="817"/>
    <x v="1"/>
    <x v="2"/>
    <x v="8"/>
    <x v="34"/>
    <x v="4"/>
    <x v="13"/>
    <x v="0"/>
    <x v="4"/>
    <x v="5"/>
    <x v="4"/>
    <x v="0"/>
    <x v="0"/>
    <x v="16"/>
    <x v="4"/>
    <x v="5"/>
    <x v="4"/>
    <x v="1"/>
    <x v="1"/>
  </r>
  <r>
    <x v="818"/>
    <x v="0"/>
    <x v="2"/>
    <x v="21"/>
    <x v="18"/>
    <x v="18"/>
    <x v="9"/>
    <x v="0"/>
    <x v="5"/>
    <x v="0"/>
    <x v="3"/>
    <x v="0"/>
    <x v="0"/>
    <x v="5"/>
    <x v="5"/>
    <x v="0"/>
    <x v="3"/>
    <x v="1"/>
    <x v="1"/>
  </r>
  <r>
    <x v="819"/>
    <x v="1"/>
    <x v="1"/>
    <x v="4"/>
    <x v="2"/>
    <x v="2"/>
    <x v="2"/>
    <x v="1"/>
    <x v="2"/>
    <x v="2"/>
    <x v="2"/>
    <x v="1"/>
    <x v="4"/>
    <x v="2"/>
    <x v="2"/>
    <x v="2"/>
    <x v="2"/>
    <x v="2"/>
    <x v="0"/>
  </r>
  <r>
    <x v="820"/>
    <x v="0"/>
    <x v="0"/>
    <x v="23"/>
    <x v="9"/>
    <x v="18"/>
    <x v="24"/>
    <x v="0"/>
    <x v="5"/>
    <x v="3"/>
    <x v="6"/>
    <x v="0"/>
    <x v="0"/>
    <x v="21"/>
    <x v="5"/>
    <x v="3"/>
    <x v="6"/>
    <x v="0"/>
    <x v="0"/>
  </r>
  <r>
    <x v="821"/>
    <x v="3"/>
    <x v="1"/>
    <x v="15"/>
    <x v="2"/>
    <x v="2"/>
    <x v="2"/>
    <x v="1"/>
    <x v="2"/>
    <x v="2"/>
    <x v="2"/>
    <x v="1"/>
    <x v="3"/>
    <x v="2"/>
    <x v="2"/>
    <x v="2"/>
    <x v="2"/>
    <x v="2"/>
    <x v="0"/>
  </r>
  <r>
    <x v="822"/>
    <x v="2"/>
    <x v="0"/>
    <x v="15"/>
    <x v="12"/>
    <x v="31"/>
    <x v="0"/>
    <x v="0"/>
    <x v="1"/>
    <x v="0"/>
    <x v="3"/>
    <x v="0"/>
    <x v="0"/>
    <x v="25"/>
    <x v="1"/>
    <x v="0"/>
    <x v="3"/>
    <x v="9"/>
    <x v="0"/>
  </r>
  <r>
    <x v="823"/>
    <x v="3"/>
    <x v="2"/>
    <x v="13"/>
    <x v="21"/>
    <x v="21"/>
    <x v="6"/>
    <x v="0"/>
    <x v="5"/>
    <x v="3"/>
    <x v="4"/>
    <x v="0"/>
    <x v="0"/>
    <x v="46"/>
    <x v="5"/>
    <x v="3"/>
    <x v="4"/>
    <x v="8"/>
    <x v="0"/>
  </r>
  <r>
    <x v="824"/>
    <x v="1"/>
    <x v="0"/>
    <x v="10"/>
    <x v="11"/>
    <x v="22"/>
    <x v="8"/>
    <x v="0"/>
    <x v="3"/>
    <x v="0"/>
    <x v="1"/>
    <x v="1"/>
    <x v="4"/>
    <x v="2"/>
    <x v="3"/>
    <x v="0"/>
    <x v="1"/>
    <x v="2"/>
    <x v="0"/>
  </r>
  <r>
    <x v="825"/>
    <x v="1"/>
    <x v="2"/>
    <x v="4"/>
    <x v="14"/>
    <x v="20"/>
    <x v="19"/>
    <x v="0"/>
    <x v="3"/>
    <x v="4"/>
    <x v="3"/>
    <x v="0"/>
    <x v="0"/>
    <x v="10"/>
    <x v="3"/>
    <x v="4"/>
    <x v="3"/>
    <x v="9"/>
    <x v="0"/>
  </r>
  <r>
    <x v="826"/>
    <x v="3"/>
    <x v="0"/>
    <x v="0"/>
    <x v="31"/>
    <x v="27"/>
    <x v="21"/>
    <x v="0"/>
    <x v="3"/>
    <x v="3"/>
    <x v="6"/>
    <x v="0"/>
    <x v="0"/>
    <x v="32"/>
    <x v="3"/>
    <x v="3"/>
    <x v="6"/>
    <x v="5"/>
    <x v="0"/>
  </r>
  <r>
    <x v="827"/>
    <x v="3"/>
    <x v="1"/>
    <x v="7"/>
    <x v="2"/>
    <x v="2"/>
    <x v="2"/>
    <x v="1"/>
    <x v="2"/>
    <x v="2"/>
    <x v="2"/>
    <x v="1"/>
    <x v="4"/>
    <x v="2"/>
    <x v="2"/>
    <x v="2"/>
    <x v="2"/>
    <x v="2"/>
    <x v="0"/>
  </r>
  <r>
    <x v="828"/>
    <x v="0"/>
    <x v="0"/>
    <x v="5"/>
    <x v="28"/>
    <x v="31"/>
    <x v="18"/>
    <x v="0"/>
    <x v="3"/>
    <x v="3"/>
    <x v="0"/>
    <x v="0"/>
    <x v="0"/>
    <x v="42"/>
    <x v="3"/>
    <x v="3"/>
    <x v="0"/>
    <x v="0"/>
    <x v="0"/>
  </r>
  <r>
    <x v="829"/>
    <x v="1"/>
    <x v="0"/>
    <x v="6"/>
    <x v="16"/>
    <x v="16"/>
    <x v="21"/>
    <x v="0"/>
    <x v="5"/>
    <x v="5"/>
    <x v="5"/>
    <x v="1"/>
    <x v="2"/>
    <x v="2"/>
    <x v="5"/>
    <x v="5"/>
    <x v="5"/>
    <x v="2"/>
    <x v="0"/>
  </r>
  <r>
    <x v="830"/>
    <x v="1"/>
    <x v="2"/>
    <x v="18"/>
    <x v="18"/>
    <x v="18"/>
    <x v="21"/>
    <x v="0"/>
    <x v="1"/>
    <x v="0"/>
    <x v="4"/>
    <x v="1"/>
    <x v="5"/>
    <x v="2"/>
    <x v="1"/>
    <x v="0"/>
    <x v="4"/>
    <x v="2"/>
    <x v="0"/>
  </r>
  <r>
    <x v="831"/>
    <x v="3"/>
    <x v="2"/>
    <x v="4"/>
    <x v="24"/>
    <x v="3"/>
    <x v="5"/>
    <x v="0"/>
    <x v="4"/>
    <x v="1"/>
    <x v="1"/>
    <x v="0"/>
    <x v="0"/>
    <x v="5"/>
    <x v="4"/>
    <x v="1"/>
    <x v="1"/>
    <x v="3"/>
    <x v="2"/>
  </r>
  <r>
    <x v="832"/>
    <x v="2"/>
    <x v="2"/>
    <x v="8"/>
    <x v="32"/>
    <x v="39"/>
    <x v="34"/>
    <x v="0"/>
    <x v="5"/>
    <x v="1"/>
    <x v="6"/>
    <x v="0"/>
    <x v="0"/>
    <x v="7"/>
    <x v="5"/>
    <x v="1"/>
    <x v="6"/>
    <x v="3"/>
    <x v="2"/>
  </r>
  <r>
    <x v="833"/>
    <x v="1"/>
    <x v="0"/>
    <x v="8"/>
    <x v="8"/>
    <x v="9"/>
    <x v="8"/>
    <x v="0"/>
    <x v="0"/>
    <x v="5"/>
    <x v="6"/>
    <x v="0"/>
    <x v="0"/>
    <x v="13"/>
    <x v="0"/>
    <x v="5"/>
    <x v="6"/>
    <x v="5"/>
    <x v="0"/>
  </r>
  <r>
    <x v="834"/>
    <x v="2"/>
    <x v="2"/>
    <x v="17"/>
    <x v="1"/>
    <x v="11"/>
    <x v="12"/>
    <x v="0"/>
    <x v="5"/>
    <x v="0"/>
    <x v="3"/>
    <x v="0"/>
    <x v="0"/>
    <x v="3"/>
    <x v="5"/>
    <x v="0"/>
    <x v="3"/>
    <x v="1"/>
    <x v="1"/>
  </r>
  <r>
    <x v="835"/>
    <x v="3"/>
    <x v="0"/>
    <x v="30"/>
    <x v="33"/>
    <x v="34"/>
    <x v="42"/>
    <x v="0"/>
    <x v="3"/>
    <x v="4"/>
    <x v="4"/>
    <x v="1"/>
    <x v="3"/>
    <x v="2"/>
    <x v="3"/>
    <x v="4"/>
    <x v="4"/>
    <x v="2"/>
    <x v="0"/>
  </r>
  <r>
    <x v="836"/>
    <x v="3"/>
    <x v="0"/>
    <x v="12"/>
    <x v="12"/>
    <x v="0"/>
    <x v="0"/>
    <x v="0"/>
    <x v="0"/>
    <x v="5"/>
    <x v="0"/>
    <x v="0"/>
    <x v="0"/>
    <x v="42"/>
    <x v="0"/>
    <x v="5"/>
    <x v="0"/>
    <x v="0"/>
    <x v="0"/>
  </r>
  <r>
    <x v="837"/>
    <x v="0"/>
    <x v="0"/>
    <x v="9"/>
    <x v="7"/>
    <x v="6"/>
    <x v="29"/>
    <x v="0"/>
    <x v="5"/>
    <x v="3"/>
    <x v="0"/>
    <x v="0"/>
    <x v="0"/>
    <x v="31"/>
    <x v="5"/>
    <x v="3"/>
    <x v="0"/>
    <x v="5"/>
    <x v="0"/>
  </r>
  <r>
    <x v="838"/>
    <x v="1"/>
    <x v="2"/>
    <x v="28"/>
    <x v="21"/>
    <x v="30"/>
    <x v="16"/>
    <x v="0"/>
    <x v="1"/>
    <x v="4"/>
    <x v="5"/>
    <x v="0"/>
    <x v="0"/>
    <x v="22"/>
    <x v="1"/>
    <x v="4"/>
    <x v="5"/>
    <x v="5"/>
    <x v="0"/>
  </r>
  <r>
    <x v="839"/>
    <x v="2"/>
    <x v="2"/>
    <x v="11"/>
    <x v="3"/>
    <x v="24"/>
    <x v="21"/>
    <x v="0"/>
    <x v="1"/>
    <x v="0"/>
    <x v="1"/>
    <x v="0"/>
    <x v="0"/>
    <x v="8"/>
    <x v="1"/>
    <x v="0"/>
    <x v="1"/>
    <x v="3"/>
    <x v="2"/>
  </r>
  <r>
    <x v="840"/>
    <x v="0"/>
    <x v="1"/>
    <x v="11"/>
    <x v="2"/>
    <x v="2"/>
    <x v="2"/>
    <x v="1"/>
    <x v="2"/>
    <x v="2"/>
    <x v="2"/>
    <x v="1"/>
    <x v="3"/>
    <x v="2"/>
    <x v="2"/>
    <x v="2"/>
    <x v="2"/>
    <x v="2"/>
    <x v="0"/>
  </r>
  <r>
    <x v="841"/>
    <x v="1"/>
    <x v="0"/>
    <x v="8"/>
    <x v="8"/>
    <x v="38"/>
    <x v="10"/>
    <x v="0"/>
    <x v="0"/>
    <x v="3"/>
    <x v="5"/>
    <x v="0"/>
    <x v="0"/>
    <x v="43"/>
    <x v="0"/>
    <x v="3"/>
    <x v="5"/>
    <x v="3"/>
    <x v="2"/>
  </r>
  <r>
    <x v="842"/>
    <x v="0"/>
    <x v="0"/>
    <x v="24"/>
    <x v="21"/>
    <x v="17"/>
    <x v="27"/>
    <x v="0"/>
    <x v="4"/>
    <x v="1"/>
    <x v="3"/>
    <x v="0"/>
    <x v="0"/>
    <x v="39"/>
    <x v="4"/>
    <x v="1"/>
    <x v="3"/>
    <x v="6"/>
    <x v="0"/>
  </r>
  <r>
    <x v="843"/>
    <x v="3"/>
    <x v="2"/>
    <x v="3"/>
    <x v="10"/>
    <x v="7"/>
    <x v="4"/>
    <x v="0"/>
    <x v="0"/>
    <x v="0"/>
    <x v="4"/>
    <x v="1"/>
    <x v="3"/>
    <x v="2"/>
    <x v="0"/>
    <x v="0"/>
    <x v="4"/>
    <x v="2"/>
    <x v="0"/>
  </r>
  <r>
    <x v="844"/>
    <x v="1"/>
    <x v="1"/>
    <x v="9"/>
    <x v="2"/>
    <x v="2"/>
    <x v="2"/>
    <x v="1"/>
    <x v="2"/>
    <x v="2"/>
    <x v="2"/>
    <x v="1"/>
    <x v="2"/>
    <x v="2"/>
    <x v="2"/>
    <x v="2"/>
    <x v="2"/>
    <x v="2"/>
    <x v="0"/>
  </r>
  <r>
    <x v="845"/>
    <x v="0"/>
    <x v="0"/>
    <x v="7"/>
    <x v="15"/>
    <x v="13"/>
    <x v="6"/>
    <x v="0"/>
    <x v="1"/>
    <x v="3"/>
    <x v="0"/>
    <x v="0"/>
    <x v="0"/>
    <x v="25"/>
    <x v="1"/>
    <x v="3"/>
    <x v="0"/>
    <x v="11"/>
    <x v="1"/>
  </r>
  <r>
    <x v="846"/>
    <x v="0"/>
    <x v="0"/>
    <x v="26"/>
    <x v="25"/>
    <x v="15"/>
    <x v="17"/>
    <x v="0"/>
    <x v="0"/>
    <x v="0"/>
    <x v="4"/>
    <x v="0"/>
    <x v="0"/>
    <x v="11"/>
    <x v="0"/>
    <x v="0"/>
    <x v="4"/>
    <x v="9"/>
    <x v="0"/>
  </r>
  <r>
    <x v="847"/>
    <x v="2"/>
    <x v="1"/>
    <x v="9"/>
    <x v="2"/>
    <x v="2"/>
    <x v="2"/>
    <x v="1"/>
    <x v="2"/>
    <x v="2"/>
    <x v="2"/>
    <x v="1"/>
    <x v="4"/>
    <x v="2"/>
    <x v="2"/>
    <x v="2"/>
    <x v="2"/>
    <x v="2"/>
    <x v="0"/>
  </r>
  <r>
    <x v="848"/>
    <x v="0"/>
    <x v="2"/>
    <x v="21"/>
    <x v="22"/>
    <x v="24"/>
    <x v="29"/>
    <x v="0"/>
    <x v="3"/>
    <x v="3"/>
    <x v="3"/>
    <x v="0"/>
    <x v="0"/>
    <x v="19"/>
    <x v="3"/>
    <x v="3"/>
    <x v="3"/>
    <x v="7"/>
    <x v="0"/>
  </r>
  <r>
    <x v="849"/>
    <x v="1"/>
    <x v="0"/>
    <x v="10"/>
    <x v="11"/>
    <x v="22"/>
    <x v="18"/>
    <x v="0"/>
    <x v="3"/>
    <x v="0"/>
    <x v="4"/>
    <x v="0"/>
    <x v="0"/>
    <x v="0"/>
    <x v="3"/>
    <x v="0"/>
    <x v="4"/>
    <x v="5"/>
    <x v="0"/>
  </r>
  <r>
    <x v="850"/>
    <x v="1"/>
    <x v="0"/>
    <x v="0"/>
    <x v="18"/>
    <x v="8"/>
    <x v="9"/>
    <x v="0"/>
    <x v="4"/>
    <x v="1"/>
    <x v="4"/>
    <x v="0"/>
    <x v="0"/>
    <x v="3"/>
    <x v="4"/>
    <x v="1"/>
    <x v="4"/>
    <x v="8"/>
    <x v="0"/>
  </r>
  <r>
    <x v="851"/>
    <x v="2"/>
    <x v="2"/>
    <x v="9"/>
    <x v="24"/>
    <x v="11"/>
    <x v="22"/>
    <x v="0"/>
    <x v="0"/>
    <x v="5"/>
    <x v="4"/>
    <x v="0"/>
    <x v="0"/>
    <x v="20"/>
    <x v="0"/>
    <x v="5"/>
    <x v="4"/>
    <x v="3"/>
    <x v="2"/>
  </r>
  <r>
    <x v="852"/>
    <x v="1"/>
    <x v="1"/>
    <x v="30"/>
    <x v="2"/>
    <x v="2"/>
    <x v="2"/>
    <x v="1"/>
    <x v="2"/>
    <x v="2"/>
    <x v="2"/>
    <x v="1"/>
    <x v="5"/>
    <x v="2"/>
    <x v="2"/>
    <x v="2"/>
    <x v="2"/>
    <x v="2"/>
    <x v="0"/>
  </r>
  <r>
    <x v="853"/>
    <x v="3"/>
    <x v="0"/>
    <x v="27"/>
    <x v="7"/>
    <x v="6"/>
    <x v="15"/>
    <x v="0"/>
    <x v="0"/>
    <x v="3"/>
    <x v="3"/>
    <x v="1"/>
    <x v="1"/>
    <x v="2"/>
    <x v="0"/>
    <x v="3"/>
    <x v="3"/>
    <x v="2"/>
    <x v="0"/>
  </r>
  <r>
    <x v="854"/>
    <x v="1"/>
    <x v="0"/>
    <x v="17"/>
    <x v="19"/>
    <x v="20"/>
    <x v="19"/>
    <x v="0"/>
    <x v="0"/>
    <x v="3"/>
    <x v="3"/>
    <x v="0"/>
    <x v="0"/>
    <x v="18"/>
    <x v="0"/>
    <x v="3"/>
    <x v="3"/>
    <x v="0"/>
    <x v="0"/>
  </r>
  <r>
    <x v="855"/>
    <x v="1"/>
    <x v="2"/>
    <x v="28"/>
    <x v="17"/>
    <x v="20"/>
    <x v="19"/>
    <x v="0"/>
    <x v="0"/>
    <x v="1"/>
    <x v="3"/>
    <x v="0"/>
    <x v="0"/>
    <x v="14"/>
    <x v="0"/>
    <x v="1"/>
    <x v="3"/>
    <x v="11"/>
    <x v="1"/>
  </r>
  <r>
    <x v="856"/>
    <x v="0"/>
    <x v="2"/>
    <x v="8"/>
    <x v="34"/>
    <x v="4"/>
    <x v="23"/>
    <x v="0"/>
    <x v="4"/>
    <x v="5"/>
    <x v="0"/>
    <x v="0"/>
    <x v="0"/>
    <x v="40"/>
    <x v="4"/>
    <x v="5"/>
    <x v="0"/>
    <x v="10"/>
    <x v="0"/>
  </r>
  <r>
    <x v="857"/>
    <x v="0"/>
    <x v="0"/>
    <x v="7"/>
    <x v="15"/>
    <x v="30"/>
    <x v="6"/>
    <x v="0"/>
    <x v="1"/>
    <x v="0"/>
    <x v="6"/>
    <x v="0"/>
    <x v="0"/>
    <x v="29"/>
    <x v="1"/>
    <x v="0"/>
    <x v="6"/>
    <x v="9"/>
    <x v="0"/>
  </r>
  <r>
    <x v="858"/>
    <x v="1"/>
    <x v="0"/>
    <x v="8"/>
    <x v="32"/>
    <x v="33"/>
    <x v="20"/>
    <x v="0"/>
    <x v="5"/>
    <x v="3"/>
    <x v="1"/>
    <x v="0"/>
    <x v="0"/>
    <x v="40"/>
    <x v="5"/>
    <x v="3"/>
    <x v="1"/>
    <x v="11"/>
    <x v="1"/>
  </r>
  <r>
    <x v="859"/>
    <x v="2"/>
    <x v="2"/>
    <x v="3"/>
    <x v="11"/>
    <x v="12"/>
    <x v="11"/>
    <x v="0"/>
    <x v="4"/>
    <x v="5"/>
    <x v="1"/>
    <x v="0"/>
    <x v="0"/>
    <x v="31"/>
    <x v="4"/>
    <x v="5"/>
    <x v="1"/>
    <x v="8"/>
    <x v="0"/>
  </r>
  <r>
    <x v="860"/>
    <x v="0"/>
    <x v="0"/>
    <x v="5"/>
    <x v="11"/>
    <x v="22"/>
    <x v="8"/>
    <x v="0"/>
    <x v="1"/>
    <x v="0"/>
    <x v="1"/>
    <x v="0"/>
    <x v="0"/>
    <x v="52"/>
    <x v="1"/>
    <x v="0"/>
    <x v="1"/>
    <x v="0"/>
    <x v="0"/>
  </r>
  <r>
    <x v="861"/>
    <x v="2"/>
    <x v="0"/>
    <x v="11"/>
    <x v="3"/>
    <x v="3"/>
    <x v="15"/>
    <x v="0"/>
    <x v="1"/>
    <x v="3"/>
    <x v="4"/>
    <x v="0"/>
    <x v="0"/>
    <x v="31"/>
    <x v="1"/>
    <x v="3"/>
    <x v="4"/>
    <x v="7"/>
    <x v="0"/>
  </r>
  <r>
    <x v="862"/>
    <x v="1"/>
    <x v="2"/>
    <x v="25"/>
    <x v="13"/>
    <x v="37"/>
    <x v="6"/>
    <x v="0"/>
    <x v="1"/>
    <x v="3"/>
    <x v="5"/>
    <x v="1"/>
    <x v="4"/>
    <x v="2"/>
    <x v="1"/>
    <x v="3"/>
    <x v="5"/>
    <x v="2"/>
    <x v="0"/>
  </r>
  <r>
    <x v="863"/>
    <x v="1"/>
    <x v="0"/>
    <x v="26"/>
    <x v="25"/>
    <x v="15"/>
    <x v="18"/>
    <x v="0"/>
    <x v="0"/>
    <x v="0"/>
    <x v="5"/>
    <x v="0"/>
    <x v="0"/>
    <x v="10"/>
    <x v="0"/>
    <x v="0"/>
    <x v="5"/>
    <x v="3"/>
    <x v="2"/>
  </r>
  <r>
    <x v="864"/>
    <x v="3"/>
    <x v="2"/>
    <x v="28"/>
    <x v="27"/>
    <x v="23"/>
    <x v="27"/>
    <x v="0"/>
    <x v="4"/>
    <x v="1"/>
    <x v="6"/>
    <x v="0"/>
    <x v="0"/>
    <x v="18"/>
    <x v="4"/>
    <x v="1"/>
    <x v="6"/>
    <x v="8"/>
    <x v="0"/>
  </r>
  <r>
    <x v="865"/>
    <x v="0"/>
    <x v="1"/>
    <x v="0"/>
    <x v="2"/>
    <x v="2"/>
    <x v="2"/>
    <x v="1"/>
    <x v="2"/>
    <x v="2"/>
    <x v="2"/>
    <x v="1"/>
    <x v="2"/>
    <x v="2"/>
    <x v="2"/>
    <x v="2"/>
    <x v="2"/>
    <x v="2"/>
    <x v="0"/>
  </r>
  <r>
    <x v="866"/>
    <x v="1"/>
    <x v="0"/>
    <x v="0"/>
    <x v="9"/>
    <x v="26"/>
    <x v="5"/>
    <x v="0"/>
    <x v="1"/>
    <x v="5"/>
    <x v="4"/>
    <x v="0"/>
    <x v="0"/>
    <x v="5"/>
    <x v="1"/>
    <x v="5"/>
    <x v="4"/>
    <x v="3"/>
    <x v="2"/>
  </r>
  <r>
    <x v="867"/>
    <x v="3"/>
    <x v="2"/>
    <x v="18"/>
    <x v="0"/>
    <x v="8"/>
    <x v="9"/>
    <x v="0"/>
    <x v="5"/>
    <x v="3"/>
    <x v="4"/>
    <x v="0"/>
    <x v="0"/>
    <x v="3"/>
    <x v="5"/>
    <x v="3"/>
    <x v="4"/>
    <x v="3"/>
    <x v="2"/>
  </r>
  <r>
    <x v="868"/>
    <x v="0"/>
    <x v="0"/>
    <x v="2"/>
    <x v="13"/>
    <x v="13"/>
    <x v="28"/>
    <x v="0"/>
    <x v="5"/>
    <x v="0"/>
    <x v="4"/>
    <x v="0"/>
    <x v="0"/>
    <x v="18"/>
    <x v="5"/>
    <x v="0"/>
    <x v="4"/>
    <x v="7"/>
    <x v="0"/>
  </r>
  <r>
    <x v="869"/>
    <x v="1"/>
    <x v="0"/>
    <x v="30"/>
    <x v="33"/>
    <x v="29"/>
    <x v="36"/>
    <x v="0"/>
    <x v="3"/>
    <x v="3"/>
    <x v="3"/>
    <x v="0"/>
    <x v="0"/>
    <x v="36"/>
    <x v="3"/>
    <x v="3"/>
    <x v="3"/>
    <x v="10"/>
    <x v="0"/>
  </r>
  <r>
    <x v="870"/>
    <x v="1"/>
    <x v="0"/>
    <x v="19"/>
    <x v="23"/>
    <x v="10"/>
    <x v="23"/>
    <x v="0"/>
    <x v="1"/>
    <x v="0"/>
    <x v="1"/>
    <x v="0"/>
    <x v="0"/>
    <x v="40"/>
    <x v="1"/>
    <x v="0"/>
    <x v="1"/>
    <x v="1"/>
    <x v="1"/>
  </r>
  <r>
    <x v="871"/>
    <x v="0"/>
    <x v="0"/>
    <x v="1"/>
    <x v="19"/>
    <x v="20"/>
    <x v="12"/>
    <x v="0"/>
    <x v="4"/>
    <x v="3"/>
    <x v="0"/>
    <x v="0"/>
    <x v="0"/>
    <x v="18"/>
    <x v="4"/>
    <x v="3"/>
    <x v="0"/>
    <x v="11"/>
    <x v="1"/>
  </r>
  <r>
    <x v="872"/>
    <x v="0"/>
    <x v="0"/>
    <x v="24"/>
    <x v="20"/>
    <x v="21"/>
    <x v="14"/>
    <x v="0"/>
    <x v="0"/>
    <x v="4"/>
    <x v="3"/>
    <x v="0"/>
    <x v="0"/>
    <x v="39"/>
    <x v="0"/>
    <x v="4"/>
    <x v="3"/>
    <x v="7"/>
    <x v="0"/>
  </r>
  <r>
    <x v="873"/>
    <x v="0"/>
    <x v="2"/>
    <x v="13"/>
    <x v="13"/>
    <x v="30"/>
    <x v="39"/>
    <x v="0"/>
    <x v="3"/>
    <x v="1"/>
    <x v="4"/>
    <x v="0"/>
    <x v="0"/>
    <x v="32"/>
    <x v="3"/>
    <x v="1"/>
    <x v="4"/>
    <x v="8"/>
    <x v="0"/>
  </r>
  <r>
    <x v="874"/>
    <x v="1"/>
    <x v="2"/>
    <x v="19"/>
    <x v="23"/>
    <x v="31"/>
    <x v="35"/>
    <x v="0"/>
    <x v="1"/>
    <x v="5"/>
    <x v="6"/>
    <x v="0"/>
    <x v="0"/>
    <x v="24"/>
    <x v="1"/>
    <x v="5"/>
    <x v="6"/>
    <x v="9"/>
    <x v="0"/>
  </r>
  <r>
    <x v="875"/>
    <x v="1"/>
    <x v="2"/>
    <x v="23"/>
    <x v="18"/>
    <x v="8"/>
    <x v="9"/>
    <x v="0"/>
    <x v="0"/>
    <x v="1"/>
    <x v="4"/>
    <x v="0"/>
    <x v="0"/>
    <x v="24"/>
    <x v="0"/>
    <x v="1"/>
    <x v="4"/>
    <x v="5"/>
    <x v="0"/>
  </r>
  <r>
    <x v="876"/>
    <x v="3"/>
    <x v="0"/>
    <x v="28"/>
    <x v="27"/>
    <x v="23"/>
    <x v="14"/>
    <x v="0"/>
    <x v="4"/>
    <x v="1"/>
    <x v="4"/>
    <x v="0"/>
    <x v="0"/>
    <x v="32"/>
    <x v="4"/>
    <x v="1"/>
    <x v="4"/>
    <x v="0"/>
    <x v="0"/>
  </r>
  <r>
    <x v="877"/>
    <x v="2"/>
    <x v="1"/>
    <x v="25"/>
    <x v="2"/>
    <x v="2"/>
    <x v="2"/>
    <x v="1"/>
    <x v="2"/>
    <x v="2"/>
    <x v="2"/>
    <x v="1"/>
    <x v="4"/>
    <x v="2"/>
    <x v="2"/>
    <x v="2"/>
    <x v="2"/>
    <x v="2"/>
    <x v="0"/>
  </r>
  <r>
    <x v="878"/>
    <x v="0"/>
    <x v="0"/>
    <x v="5"/>
    <x v="23"/>
    <x v="31"/>
    <x v="18"/>
    <x v="0"/>
    <x v="4"/>
    <x v="5"/>
    <x v="0"/>
    <x v="0"/>
    <x v="0"/>
    <x v="30"/>
    <x v="4"/>
    <x v="5"/>
    <x v="0"/>
    <x v="8"/>
    <x v="0"/>
  </r>
  <r>
    <x v="879"/>
    <x v="1"/>
    <x v="2"/>
    <x v="22"/>
    <x v="25"/>
    <x v="31"/>
    <x v="26"/>
    <x v="0"/>
    <x v="3"/>
    <x v="1"/>
    <x v="4"/>
    <x v="0"/>
    <x v="0"/>
    <x v="14"/>
    <x v="3"/>
    <x v="1"/>
    <x v="4"/>
    <x v="8"/>
    <x v="0"/>
  </r>
  <r>
    <x v="880"/>
    <x v="1"/>
    <x v="0"/>
    <x v="21"/>
    <x v="22"/>
    <x v="6"/>
    <x v="15"/>
    <x v="0"/>
    <x v="3"/>
    <x v="4"/>
    <x v="3"/>
    <x v="0"/>
    <x v="0"/>
    <x v="39"/>
    <x v="3"/>
    <x v="4"/>
    <x v="3"/>
    <x v="0"/>
    <x v="0"/>
  </r>
  <r>
    <x v="881"/>
    <x v="0"/>
    <x v="1"/>
    <x v="28"/>
    <x v="2"/>
    <x v="2"/>
    <x v="2"/>
    <x v="1"/>
    <x v="2"/>
    <x v="2"/>
    <x v="2"/>
    <x v="1"/>
    <x v="4"/>
    <x v="2"/>
    <x v="2"/>
    <x v="2"/>
    <x v="2"/>
    <x v="2"/>
    <x v="0"/>
  </r>
  <r>
    <x v="882"/>
    <x v="2"/>
    <x v="0"/>
    <x v="23"/>
    <x v="31"/>
    <x v="26"/>
    <x v="17"/>
    <x v="0"/>
    <x v="1"/>
    <x v="0"/>
    <x v="5"/>
    <x v="0"/>
    <x v="0"/>
    <x v="0"/>
    <x v="1"/>
    <x v="0"/>
    <x v="5"/>
    <x v="8"/>
    <x v="0"/>
  </r>
  <r>
    <x v="883"/>
    <x v="0"/>
    <x v="1"/>
    <x v="28"/>
    <x v="2"/>
    <x v="2"/>
    <x v="2"/>
    <x v="1"/>
    <x v="2"/>
    <x v="2"/>
    <x v="2"/>
    <x v="1"/>
    <x v="2"/>
    <x v="2"/>
    <x v="2"/>
    <x v="2"/>
    <x v="2"/>
    <x v="2"/>
    <x v="0"/>
  </r>
  <r>
    <x v="884"/>
    <x v="2"/>
    <x v="2"/>
    <x v="5"/>
    <x v="4"/>
    <x v="10"/>
    <x v="4"/>
    <x v="0"/>
    <x v="0"/>
    <x v="5"/>
    <x v="0"/>
    <x v="0"/>
    <x v="0"/>
    <x v="44"/>
    <x v="0"/>
    <x v="5"/>
    <x v="0"/>
    <x v="11"/>
    <x v="1"/>
  </r>
  <r>
    <x v="885"/>
    <x v="1"/>
    <x v="2"/>
    <x v="3"/>
    <x v="34"/>
    <x v="9"/>
    <x v="10"/>
    <x v="0"/>
    <x v="5"/>
    <x v="0"/>
    <x v="1"/>
    <x v="0"/>
    <x v="0"/>
    <x v="21"/>
    <x v="5"/>
    <x v="0"/>
    <x v="1"/>
    <x v="9"/>
    <x v="0"/>
  </r>
  <r>
    <x v="886"/>
    <x v="2"/>
    <x v="1"/>
    <x v="24"/>
    <x v="2"/>
    <x v="2"/>
    <x v="2"/>
    <x v="1"/>
    <x v="2"/>
    <x v="2"/>
    <x v="2"/>
    <x v="1"/>
    <x v="3"/>
    <x v="2"/>
    <x v="2"/>
    <x v="2"/>
    <x v="2"/>
    <x v="2"/>
    <x v="0"/>
  </r>
  <r>
    <x v="887"/>
    <x v="3"/>
    <x v="0"/>
    <x v="1"/>
    <x v="14"/>
    <x v="11"/>
    <x v="15"/>
    <x v="0"/>
    <x v="0"/>
    <x v="3"/>
    <x v="0"/>
    <x v="0"/>
    <x v="0"/>
    <x v="14"/>
    <x v="0"/>
    <x v="3"/>
    <x v="0"/>
    <x v="11"/>
    <x v="1"/>
  </r>
  <r>
    <x v="888"/>
    <x v="1"/>
    <x v="0"/>
    <x v="22"/>
    <x v="12"/>
    <x v="8"/>
    <x v="26"/>
    <x v="0"/>
    <x v="4"/>
    <x v="4"/>
    <x v="0"/>
    <x v="0"/>
    <x v="0"/>
    <x v="1"/>
    <x v="4"/>
    <x v="4"/>
    <x v="0"/>
    <x v="3"/>
    <x v="2"/>
  </r>
  <r>
    <x v="889"/>
    <x v="3"/>
    <x v="0"/>
    <x v="13"/>
    <x v="15"/>
    <x v="30"/>
    <x v="39"/>
    <x v="0"/>
    <x v="4"/>
    <x v="0"/>
    <x v="4"/>
    <x v="0"/>
    <x v="0"/>
    <x v="34"/>
    <x v="4"/>
    <x v="0"/>
    <x v="4"/>
    <x v="8"/>
    <x v="0"/>
  </r>
  <r>
    <x v="890"/>
    <x v="0"/>
    <x v="1"/>
    <x v="19"/>
    <x v="2"/>
    <x v="2"/>
    <x v="2"/>
    <x v="1"/>
    <x v="2"/>
    <x v="2"/>
    <x v="2"/>
    <x v="1"/>
    <x v="3"/>
    <x v="2"/>
    <x v="2"/>
    <x v="2"/>
    <x v="2"/>
    <x v="2"/>
    <x v="0"/>
  </r>
  <r>
    <x v="891"/>
    <x v="0"/>
    <x v="0"/>
    <x v="10"/>
    <x v="10"/>
    <x v="7"/>
    <x v="8"/>
    <x v="0"/>
    <x v="1"/>
    <x v="0"/>
    <x v="0"/>
    <x v="0"/>
    <x v="0"/>
    <x v="24"/>
    <x v="1"/>
    <x v="0"/>
    <x v="0"/>
    <x v="11"/>
    <x v="1"/>
  </r>
  <r>
    <x v="892"/>
    <x v="0"/>
    <x v="0"/>
    <x v="18"/>
    <x v="0"/>
    <x v="18"/>
    <x v="0"/>
    <x v="0"/>
    <x v="5"/>
    <x v="5"/>
    <x v="1"/>
    <x v="0"/>
    <x v="0"/>
    <x v="19"/>
    <x v="5"/>
    <x v="5"/>
    <x v="1"/>
    <x v="11"/>
    <x v="1"/>
  </r>
  <r>
    <x v="893"/>
    <x v="2"/>
    <x v="0"/>
    <x v="2"/>
    <x v="26"/>
    <x v="36"/>
    <x v="28"/>
    <x v="0"/>
    <x v="1"/>
    <x v="3"/>
    <x v="0"/>
    <x v="0"/>
    <x v="0"/>
    <x v="41"/>
    <x v="1"/>
    <x v="3"/>
    <x v="0"/>
    <x v="11"/>
    <x v="1"/>
  </r>
  <r>
    <x v="894"/>
    <x v="1"/>
    <x v="0"/>
    <x v="17"/>
    <x v="17"/>
    <x v="21"/>
    <x v="14"/>
    <x v="0"/>
    <x v="4"/>
    <x v="5"/>
    <x v="3"/>
    <x v="0"/>
    <x v="0"/>
    <x v="29"/>
    <x v="4"/>
    <x v="5"/>
    <x v="3"/>
    <x v="10"/>
    <x v="0"/>
  </r>
  <r>
    <x v="895"/>
    <x v="0"/>
    <x v="0"/>
    <x v="3"/>
    <x v="11"/>
    <x v="10"/>
    <x v="13"/>
    <x v="0"/>
    <x v="4"/>
    <x v="3"/>
    <x v="6"/>
    <x v="1"/>
    <x v="5"/>
    <x v="2"/>
    <x v="4"/>
    <x v="3"/>
    <x v="6"/>
    <x v="2"/>
    <x v="0"/>
  </r>
  <r>
    <x v="896"/>
    <x v="0"/>
    <x v="1"/>
    <x v="13"/>
    <x v="2"/>
    <x v="2"/>
    <x v="2"/>
    <x v="1"/>
    <x v="2"/>
    <x v="2"/>
    <x v="2"/>
    <x v="1"/>
    <x v="5"/>
    <x v="2"/>
    <x v="2"/>
    <x v="2"/>
    <x v="2"/>
    <x v="2"/>
    <x v="0"/>
  </r>
  <r>
    <x v="897"/>
    <x v="1"/>
    <x v="1"/>
    <x v="13"/>
    <x v="2"/>
    <x v="2"/>
    <x v="2"/>
    <x v="1"/>
    <x v="2"/>
    <x v="2"/>
    <x v="2"/>
    <x v="1"/>
    <x v="3"/>
    <x v="2"/>
    <x v="2"/>
    <x v="2"/>
    <x v="2"/>
    <x v="2"/>
    <x v="0"/>
  </r>
  <r>
    <x v="898"/>
    <x v="0"/>
    <x v="1"/>
    <x v="21"/>
    <x v="2"/>
    <x v="2"/>
    <x v="2"/>
    <x v="1"/>
    <x v="2"/>
    <x v="2"/>
    <x v="2"/>
    <x v="1"/>
    <x v="1"/>
    <x v="2"/>
    <x v="2"/>
    <x v="2"/>
    <x v="2"/>
    <x v="2"/>
    <x v="0"/>
  </r>
  <r>
    <x v="899"/>
    <x v="3"/>
    <x v="2"/>
    <x v="17"/>
    <x v="19"/>
    <x v="17"/>
    <x v="27"/>
    <x v="0"/>
    <x v="0"/>
    <x v="5"/>
    <x v="3"/>
    <x v="0"/>
    <x v="0"/>
    <x v="20"/>
    <x v="0"/>
    <x v="5"/>
    <x v="3"/>
    <x v="3"/>
    <x v="2"/>
  </r>
  <r>
    <x v="900"/>
    <x v="1"/>
    <x v="0"/>
    <x v="19"/>
    <x v="4"/>
    <x v="4"/>
    <x v="4"/>
    <x v="0"/>
    <x v="5"/>
    <x v="0"/>
    <x v="3"/>
    <x v="0"/>
    <x v="0"/>
    <x v="44"/>
    <x v="5"/>
    <x v="0"/>
    <x v="3"/>
    <x v="4"/>
    <x v="2"/>
  </r>
  <r>
    <x v="901"/>
    <x v="1"/>
    <x v="0"/>
    <x v="14"/>
    <x v="21"/>
    <x v="23"/>
    <x v="27"/>
    <x v="0"/>
    <x v="0"/>
    <x v="0"/>
    <x v="6"/>
    <x v="0"/>
    <x v="0"/>
    <x v="33"/>
    <x v="0"/>
    <x v="0"/>
    <x v="6"/>
    <x v="6"/>
    <x v="0"/>
  </r>
  <r>
    <x v="902"/>
    <x v="1"/>
    <x v="0"/>
    <x v="7"/>
    <x v="30"/>
    <x v="37"/>
    <x v="39"/>
    <x v="0"/>
    <x v="0"/>
    <x v="4"/>
    <x v="6"/>
    <x v="0"/>
    <x v="0"/>
    <x v="36"/>
    <x v="0"/>
    <x v="4"/>
    <x v="6"/>
    <x v="7"/>
    <x v="0"/>
  </r>
  <r>
    <x v="903"/>
    <x v="3"/>
    <x v="0"/>
    <x v="26"/>
    <x v="0"/>
    <x v="0"/>
    <x v="0"/>
    <x v="0"/>
    <x v="1"/>
    <x v="0"/>
    <x v="0"/>
    <x v="0"/>
    <x v="0"/>
    <x v="21"/>
    <x v="1"/>
    <x v="0"/>
    <x v="0"/>
    <x v="3"/>
    <x v="2"/>
  </r>
  <r>
    <x v="904"/>
    <x v="1"/>
    <x v="1"/>
    <x v="3"/>
    <x v="2"/>
    <x v="2"/>
    <x v="2"/>
    <x v="1"/>
    <x v="2"/>
    <x v="2"/>
    <x v="2"/>
    <x v="1"/>
    <x v="4"/>
    <x v="2"/>
    <x v="2"/>
    <x v="2"/>
    <x v="2"/>
    <x v="2"/>
    <x v="0"/>
  </r>
  <r>
    <x v="905"/>
    <x v="3"/>
    <x v="0"/>
    <x v="2"/>
    <x v="6"/>
    <x v="13"/>
    <x v="39"/>
    <x v="0"/>
    <x v="0"/>
    <x v="1"/>
    <x v="3"/>
    <x v="0"/>
    <x v="0"/>
    <x v="36"/>
    <x v="0"/>
    <x v="1"/>
    <x v="3"/>
    <x v="11"/>
    <x v="1"/>
  </r>
  <r>
    <x v="906"/>
    <x v="1"/>
    <x v="0"/>
    <x v="13"/>
    <x v="13"/>
    <x v="13"/>
    <x v="28"/>
    <x v="0"/>
    <x v="3"/>
    <x v="0"/>
    <x v="4"/>
    <x v="0"/>
    <x v="0"/>
    <x v="36"/>
    <x v="3"/>
    <x v="0"/>
    <x v="4"/>
    <x v="8"/>
    <x v="0"/>
  </r>
  <r>
    <x v="907"/>
    <x v="2"/>
    <x v="2"/>
    <x v="2"/>
    <x v="29"/>
    <x v="36"/>
    <x v="39"/>
    <x v="0"/>
    <x v="3"/>
    <x v="1"/>
    <x v="5"/>
    <x v="0"/>
    <x v="0"/>
    <x v="38"/>
    <x v="3"/>
    <x v="1"/>
    <x v="5"/>
    <x v="0"/>
    <x v="0"/>
  </r>
  <r>
    <x v="908"/>
    <x v="0"/>
    <x v="0"/>
    <x v="9"/>
    <x v="24"/>
    <x v="6"/>
    <x v="1"/>
    <x v="0"/>
    <x v="0"/>
    <x v="0"/>
    <x v="5"/>
    <x v="0"/>
    <x v="0"/>
    <x v="49"/>
    <x v="0"/>
    <x v="0"/>
    <x v="5"/>
    <x v="1"/>
    <x v="1"/>
  </r>
  <r>
    <x v="909"/>
    <x v="2"/>
    <x v="0"/>
    <x v="19"/>
    <x v="4"/>
    <x v="7"/>
    <x v="37"/>
    <x v="0"/>
    <x v="5"/>
    <x v="1"/>
    <x v="5"/>
    <x v="0"/>
    <x v="0"/>
    <x v="0"/>
    <x v="5"/>
    <x v="1"/>
    <x v="5"/>
    <x v="0"/>
    <x v="0"/>
  </r>
  <r>
    <x v="910"/>
    <x v="0"/>
    <x v="0"/>
    <x v="19"/>
    <x v="11"/>
    <x v="4"/>
    <x v="4"/>
    <x v="0"/>
    <x v="0"/>
    <x v="1"/>
    <x v="3"/>
    <x v="0"/>
    <x v="0"/>
    <x v="27"/>
    <x v="0"/>
    <x v="1"/>
    <x v="3"/>
    <x v="8"/>
    <x v="0"/>
  </r>
  <r>
    <x v="911"/>
    <x v="3"/>
    <x v="2"/>
    <x v="24"/>
    <x v="21"/>
    <x v="23"/>
    <x v="12"/>
    <x v="0"/>
    <x v="4"/>
    <x v="0"/>
    <x v="1"/>
    <x v="0"/>
    <x v="0"/>
    <x v="17"/>
    <x v="4"/>
    <x v="0"/>
    <x v="1"/>
    <x v="10"/>
    <x v="0"/>
  </r>
  <r>
    <x v="912"/>
    <x v="2"/>
    <x v="2"/>
    <x v="23"/>
    <x v="16"/>
    <x v="26"/>
    <x v="9"/>
    <x v="0"/>
    <x v="4"/>
    <x v="1"/>
    <x v="6"/>
    <x v="0"/>
    <x v="0"/>
    <x v="14"/>
    <x v="4"/>
    <x v="1"/>
    <x v="6"/>
    <x v="1"/>
    <x v="1"/>
  </r>
  <r>
    <x v="913"/>
    <x v="1"/>
    <x v="0"/>
    <x v="1"/>
    <x v="24"/>
    <x v="25"/>
    <x v="32"/>
    <x v="0"/>
    <x v="5"/>
    <x v="4"/>
    <x v="0"/>
    <x v="0"/>
    <x v="0"/>
    <x v="20"/>
    <x v="5"/>
    <x v="4"/>
    <x v="0"/>
    <x v="3"/>
    <x v="2"/>
  </r>
  <r>
    <x v="914"/>
    <x v="0"/>
    <x v="2"/>
    <x v="2"/>
    <x v="26"/>
    <x v="36"/>
    <x v="28"/>
    <x v="0"/>
    <x v="1"/>
    <x v="3"/>
    <x v="0"/>
    <x v="0"/>
    <x v="0"/>
    <x v="28"/>
    <x v="1"/>
    <x v="3"/>
    <x v="0"/>
    <x v="8"/>
    <x v="0"/>
  </r>
  <r>
    <x v="915"/>
    <x v="0"/>
    <x v="2"/>
    <x v="14"/>
    <x v="15"/>
    <x v="14"/>
    <x v="27"/>
    <x v="0"/>
    <x v="3"/>
    <x v="1"/>
    <x v="5"/>
    <x v="0"/>
    <x v="0"/>
    <x v="38"/>
    <x v="3"/>
    <x v="1"/>
    <x v="5"/>
    <x v="10"/>
    <x v="0"/>
  </r>
  <r>
    <x v="916"/>
    <x v="2"/>
    <x v="2"/>
    <x v="17"/>
    <x v="21"/>
    <x v="17"/>
    <x v="22"/>
    <x v="0"/>
    <x v="3"/>
    <x v="1"/>
    <x v="0"/>
    <x v="0"/>
    <x v="0"/>
    <x v="22"/>
    <x v="3"/>
    <x v="1"/>
    <x v="0"/>
    <x v="5"/>
    <x v="0"/>
  </r>
  <r>
    <x v="917"/>
    <x v="3"/>
    <x v="2"/>
    <x v="30"/>
    <x v="6"/>
    <x v="29"/>
    <x v="30"/>
    <x v="0"/>
    <x v="1"/>
    <x v="4"/>
    <x v="4"/>
    <x v="0"/>
    <x v="0"/>
    <x v="55"/>
    <x v="1"/>
    <x v="4"/>
    <x v="4"/>
    <x v="1"/>
    <x v="1"/>
  </r>
  <r>
    <x v="918"/>
    <x v="2"/>
    <x v="2"/>
    <x v="13"/>
    <x v="27"/>
    <x v="13"/>
    <x v="28"/>
    <x v="0"/>
    <x v="0"/>
    <x v="4"/>
    <x v="4"/>
    <x v="0"/>
    <x v="0"/>
    <x v="38"/>
    <x v="0"/>
    <x v="4"/>
    <x v="4"/>
    <x v="10"/>
    <x v="0"/>
  </r>
  <r>
    <x v="919"/>
    <x v="3"/>
    <x v="0"/>
    <x v="15"/>
    <x v="23"/>
    <x v="31"/>
    <x v="35"/>
    <x v="0"/>
    <x v="5"/>
    <x v="5"/>
    <x v="6"/>
    <x v="0"/>
    <x v="0"/>
    <x v="49"/>
    <x v="5"/>
    <x v="5"/>
    <x v="6"/>
    <x v="5"/>
    <x v="0"/>
  </r>
  <r>
    <x v="920"/>
    <x v="3"/>
    <x v="0"/>
    <x v="4"/>
    <x v="3"/>
    <x v="3"/>
    <x v="1"/>
    <x v="0"/>
    <x v="0"/>
    <x v="3"/>
    <x v="0"/>
    <x v="0"/>
    <x v="0"/>
    <x v="20"/>
    <x v="0"/>
    <x v="3"/>
    <x v="0"/>
    <x v="6"/>
    <x v="0"/>
  </r>
  <r>
    <x v="921"/>
    <x v="0"/>
    <x v="1"/>
    <x v="16"/>
    <x v="2"/>
    <x v="2"/>
    <x v="2"/>
    <x v="1"/>
    <x v="2"/>
    <x v="2"/>
    <x v="2"/>
    <x v="1"/>
    <x v="1"/>
    <x v="2"/>
    <x v="2"/>
    <x v="2"/>
    <x v="2"/>
    <x v="2"/>
    <x v="0"/>
  </r>
  <r>
    <x v="922"/>
    <x v="2"/>
    <x v="0"/>
    <x v="7"/>
    <x v="15"/>
    <x v="37"/>
    <x v="28"/>
    <x v="0"/>
    <x v="1"/>
    <x v="5"/>
    <x v="3"/>
    <x v="0"/>
    <x v="0"/>
    <x v="22"/>
    <x v="1"/>
    <x v="5"/>
    <x v="3"/>
    <x v="5"/>
    <x v="0"/>
  </r>
  <r>
    <x v="923"/>
    <x v="2"/>
    <x v="0"/>
    <x v="15"/>
    <x v="23"/>
    <x v="22"/>
    <x v="11"/>
    <x v="0"/>
    <x v="5"/>
    <x v="1"/>
    <x v="0"/>
    <x v="0"/>
    <x v="0"/>
    <x v="31"/>
    <x v="5"/>
    <x v="1"/>
    <x v="0"/>
    <x v="5"/>
    <x v="0"/>
  </r>
  <r>
    <x v="924"/>
    <x v="3"/>
    <x v="2"/>
    <x v="25"/>
    <x v="26"/>
    <x v="32"/>
    <x v="30"/>
    <x v="0"/>
    <x v="3"/>
    <x v="4"/>
    <x v="3"/>
    <x v="0"/>
    <x v="0"/>
    <x v="35"/>
    <x v="3"/>
    <x v="4"/>
    <x v="3"/>
    <x v="5"/>
    <x v="0"/>
  </r>
  <r>
    <x v="925"/>
    <x v="2"/>
    <x v="2"/>
    <x v="6"/>
    <x v="7"/>
    <x v="24"/>
    <x v="21"/>
    <x v="0"/>
    <x v="3"/>
    <x v="1"/>
    <x v="1"/>
    <x v="0"/>
    <x v="0"/>
    <x v="17"/>
    <x v="3"/>
    <x v="1"/>
    <x v="1"/>
    <x v="0"/>
    <x v="0"/>
  </r>
  <r>
    <x v="926"/>
    <x v="1"/>
    <x v="0"/>
    <x v="11"/>
    <x v="22"/>
    <x v="16"/>
    <x v="21"/>
    <x v="0"/>
    <x v="0"/>
    <x v="0"/>
    <x v="5"/>
    <x v="0"/>
    <x v="0"/>
    <x v="32"/>
    <x v="0"/>
    <x v="0"/>
    <x v="5"/>
    <x v="11"/>
    <x v="1"/>
  </r>
  <r>
    <x v="927"/>
    <x v="1"/>
    <x v="2"/>
    <x v="22"/>
    <x v="12"/>
    <x v="15"/>
    <x v="26"/>
    <x v="0"/>
    <x v="4"/>
    <x v="3"/>
    <x v="3"/>
    <x v="1"/>
    <x v="4"/>
    <x v="2"/>
    <x v="4"/>
    <x v="3"/>
    <x v="3"/>
    <x v="2"/>
    <x v="0"/>
  </r>
  <r>
    <x v="928"/>
    <x v="2"/>
    <x v="0"/>
    <x v="9"/>
    <x v="14"/>
    <x v="1"/>
    <x v="1"/>
    <x v="0"/>
    <x v="1"/>
    <x v="0"/>
    <x v="1"/>
    <x v="0"/>
    <x v="0"/>
    <x v="17"/>
    <x v="1"/>
    <x v="0"/>
    <x v="1"/>
    <x v="1"/>
    <x v="1"/>
  </r>
  <r>
    <x v="929"/>
    <x v="2"/>
    <x v="0"/>
    <x v="16"/>
    <x v="5"/>
    <x v="3"/>
    <x v="33"/>
    <x v="0"/>
    <x v="1"/>
    <x v="4"/>
    <x v="5"/>
    <x v="0"/>
    <x v="0"/>
    <x v="23"/>
    <x v="1"/>
    <x v="4"/>
    <x v="5"/>
    <x v="10"/>
    <x v="0"/>
  </r>
  <r>
    <x v="930"/>
    <x v="3"/>
    <x v="0"/>
    <x v="23"/>
    <x v="18"/>
    <x v="28"/>
    <x v="1"/>
    <x v="0"/>
    <x v="0"/>
    <x v="4"/>
    <x v="4"/>
    <x v="0"/>
    <x v="0"/>
    <x v="5"/>
    <x v="0"/>
    <x v="4"/>
    <x v="4"/>
    <x v="11"/>
    <x v="1"/>
  </r>
  <r>
    <x v="931"/>
    <x v="1"/>
    <x v="2"/>
    <x v="7"/>
    <x v="15"/>
    <x v="5"/>
    <x v="39"/>
    <x v="0"/>
    <x v="1"/>
    <x v="4"/>
    <x v="0"/>
    <x v="0"/>
    <x v="0"/>
    <x v="15"/>
    <x v="1"/>
    <x v="4"/>
    <x v="0"/>
    <x v="3"/>
    <x v="2"/>
  </r>
  <r>
    <x v="932"/>
    <x v="1"/>
    <x v="0"/>
    <x v="11"/>
    <x v="24"/>
    <x v="1"/>
    <x v="1"/>
    <x v="0"/>
    <x v="3"/>
    <x v="3"/>
    <x v="1"/>
    <x v="0"/>
    <x v="0"/>
    <x v="42"/>
    <x v="3"/>
    <x v="3"/>
    <x v="1"/>
    <x v="0"/>
    <x v="0"/>
  </r>
  <r>
    <x v="933"/>
    <x v="0"/>
    <x v="0"/>
    <x v="16"/>
    <x v="16"/>
    <x v="16"/>
    <x v="33"/>
    <x v="0"/>
    <x v="0"/>
    <x v="5"/>
    <x v="6"/>
    <x v="1"/>
    <x v="3"/>
    <x v="2"/>
    <x v="0"/>
    <x v="5"/>
    <x v="6"/>
    <x v="2"/>
    <x v="0"/>
  </r>
  <r>
    <x v="934"/>
    <x v="3"/>
    <x v="2"/>
    <x v="24"/>
    <x v="27"/>
    <x v="23"/>
    <x v="19"/>
    <x v="0"/>
    <x v="3"/>
    <x v="1"/>
    <x v="0"/>
    <x v="0"/>
    <x v="0"/>
    <x v="3"/>
    <x v="3"/>
    <x v="1"/>
    <x v="0"/>
    <x v="3"/>
    <x v="2"/>
  </r>
  <r>
    <x v="935"/>
    <x v="0"/>
    <x v="0"/>
    <x v="8"/>
    <x v="32"/>
    <x v="39"/>
    <x v="44"/>
    <x v="0"/>
    <x v="5"/>
    <x v="1"/>
    <x v="5"/>
    <x v="0"/>
    <x v="0"/>
    <x v="56"/>
    <x v="5"/>
    <x v="1"/>
    <x v="5"/>
    <x v="0"/>
    <x v="0"/>
  </r>
  <r>
    <x v="936"/>
    <x v="1"/>
    <x v="0"/>
    <x v="18"/>
    <x v="0"/>
    <x v="15"/>
    <x v="35"/>
    <x v="0"/>
    <x v="5"/>
    <x v="1"/>
    <x v="0"/>
    <x v="0"/>
    <x v="0"/>
    <x v="1"/>
    <x v="5"/>
    <x v="1"/>
    <x v="0"/>
    <x v="8"/>
    <x v="0"/>
  </r>
  <r>
    <x v="937"/>
    <x v="3"/>
    <x v="1"/>
    <x v="30"/>
    <x v="2"/>
    <x v="2"/>
    <x v="2"/>
    <x v="1"/>
    <x v="2"/>
    <x v="2"/>
    <x v="2"/>
    <x v="1"/>
    <x v="5"/>
    <x v="2"/>
    <x v="2"/>
    <x v="2"/>
    <x v="2"/>
    <x v="2"/>
    <x v="0"/>
  </r>
  <r>
    <x v="938"/>
    <x v="2"/>
    <x v="2"/>
    <x v="15"/>
    <x v="25"/>
    <x v="31"/>
    <x v="35"/>
    <x v="0"/>
    <x v="4"/>
    <x v="1"/>
    <x v="6"/>
    <x v="0"/>
    <x v="0"/>
    <x v="42"/>
    <x v="4"/>
    <x v="1"/>
    <x v="6"/>
    <x v="11"/>
    <x v="1"/>
  </r>
  <r>
    <x v="939"/>
    <x v="3"/>
    <x v="1"/>
    <x v="19"/>
    <x v="2"/>
    <x v="2"/>
    <x v="2"/>
    <x v="1"/>
    <x v="2"/>
    <x v="2"/>
    <x v="2"/>
    <x v="1"/>
    <x v="5"/>
    <x v="2"/>
    <x v="2"/>
    <x v="2"/>
    <x v="2"/>
    <x v="2"/>
    <x v="0"/>
  </r>
  <r>
    <x v="940"/>
    <x v="2"/>
    <x v="0"/>
    <x v="20"/>
    <x v="34"/>
    <x v="38"/>
    <x v="10"/>
    <x v="0"/>
    <x v="1"/>
    <x v="1"/>
    <x v="5"/>
    <x v="0"/>
    <x v="0"/>
    <x v="13"/>
    <x v="1"/>
    <x v="1"/>
    <x v="5"/>
    <x v="1"/>
    <x v="1"/>
  </r>
  <r>
    <x v="941"/>
    <x v="2"/>
    <x v="0"/>
    <x v="3"/>
    <x v="34"/>
    <x v="4"/>
    <x v="8"/>
    <x v="0"/>
    <x v="5"/>
    <x v="5"/>
    <x v="5"/>
    <x v="0"/>
    <x v="0"/>
    <x v="6"/>
    <x v="5"/>
    <x v="5"/>
    <x v="5"/>
    <x v="7"/>
    <x v="0"/>
  </r>
  <r>
    <x v="942"/>
    <x v="3"/>
    <x v="2"/>
    <x v="26"/>
    <x v="0"/>
    <x v="0"/>
    <x v="26"/>
    <x v="0"/>
    <x v="1"/>
    <x v="0"/>
    <x v="6"/>
    <x v="0"/>
    <x v="0"/>
    <x v="14"/>
    <x v="1"/>
    <x v="0"/>
    <x v="6"/>
    <x v="8"/>
    <x v="0"/>
  </r>
  <r>
    <x v="943"/>
    <x v="2"/>
    <x v="0"/>
    <x v="16"/>
    <x v="3"/>
    <x v="3"/>
    <x v="1"/>
    <x v="0"/>
    <x v="3"/>
    <x v="3"/>
    <x v="0"/>
    <x v="0"/>
    <x v="0"/>
    <x v="32"/>
    <x v="3"/>
    <x v="3"/>
    <x v="0"/>
    <x v="0"/>
    <x v="0"/>
  </r>
  <r>
    <x v="944"/>
    <x v="0"/>
    <x v="2"/>
    <x v="29"/>
    <x v="1"/>
    <x v="11"/>
    <x v="32"/>
    <x v="0"/>
    <x v="0"/>
    <x v="0"/>
    <x v="6"/>
    <x v="0"/>
    <x v="0"/>
    <x v="19"/>
    <x v="0"/>
    <x v="0"/>
    <x v="6"/>
    <x v="9"/>
    <x v="0"/>
  </r>
  <r>
    <x v="945"/>
    <x v="1"/>
    <x v="0"/>
    <x v="11"/>
    <x v="5"/>
    <x v="28"/>
    <x v="33"/>
    <x v="0"/>
    <x v="5"/>
    <x v="0"/>
    <x v="3"/>
    <x v="0"/>
    <x v="0"/>
    <x v="10"/>
    <x v="5"/>
    <x v="0"/>
    <x v="3"/>
    <x v="5"/>
    <x v="0"/>
  </r>
  <r>
    <x v="946"/>
    <x v="2"/>
    <x v="2"/>
    <x v="0"/>
    <x v="0"/>
    <x v="15"/>
    <x v="17"/>
    <x v="0"/>
    <x v="0"/>
    <x v="1"/>
    <x v="4"/>
    <x v="0"/>
    <x v="0"/>
    <x v="49"/>
    <x v="0"/>
    <x v="1"/>
    <x v="4"/>
    <x v="5"/>
    <x v="0"/>
  </r>
  <r>
    <x v="947"/>
    <x v="0"/>
    <x v="1"/>
    <x v="8"/>
    <x v="2"/>
    <x v="2"/>
    <x v="2"/>
    <x v="1"/>
    <x v="2"/>
    <x v="2"/>
    <x v="2"/>
    <x v="1"/>
    <x v="1"/>
    <x v="2"/>
    <x v="2"/>
    <x v="2"/>
    <x v="2"/>
    <x v="2"/>
    <x v="0"/>
  </r>
  <r>
    <x v="948"/>
    <x v="2"/>
    <x v="0"/>
    <x v="2"/>
    <x v="13"/>
    <x v="30"/>
    <x v="6"/>
    <x v="0"/>
    <x v="5"/>
    <x v="1"/>
    <x v="6"/>
    <x v="0"/>
    <x v="0"/>
    <x v="15"/>
    <x v="5"/>
    <x v="1"/>
    <x v="6"/>
    <x v="1"/>
    <x v="1"/>
  </r>
  <r>
    <x v="949"/>
    <x v="1"/>
    <x v="0"/>
    <x v="30"/>
    <x v="6"/>
    <x v="36"/>
    <x v="39"/>
    <x v="0"/>
    <x v="1"/>
    <x v="5"/>
    <x v="5"/>
    <x v="0"/>
    <x v="0"/>
    <x v="22"/>
    <x v="1"/>
    <x v="5"/>
    <x v="5"/>
    <x v="0"/>
    <x v="0"/>
  </r>
  <r>
    <x v="950"/>
    <x v="0"/>
    <x v="2"/>
    <x v="6"/>
    <x v="16"/>
    <x v="28"/>
    <x v="33"/>
    <x v="0"/>
    <x v="5"/>
    <x v="3"/>
    <x v="3"/>
    <x v="0"/>
    <x v="0"/>
    <x v="31"/>
    <x v="5"/>
    <x v="3"/>
    <x v="3"/>
    <x v="9"/>
    <x v="0"/>
  </r>
  <r>
    <x v="951"/>
    <x v="1"/>
    <x v="2"/>
    <x v="3"/>
    <x v="34"/>
    <x v="22"/>
    <x v="18"/>
    <x v="0"/>
    <x v="5"/>
    <x v="4"/>
    <x v="4"/>
    <x v="0"/>
    <x v="0"/>
    <x v="0"/>
    <x v="5"/>
    <x v="4"/>
    <x v="4"/>
    <x v="10"/>
    <x v="0"/>
  </r>
  <r>
    <x v="952"/>
    <x v="1"/>
    <x v="0"/>
    <x v="27"/>
    <x v="1"/>
    <x v="11"/>
    <x v="32"/>
    <x v="0"/>
    <x v="3"/>
    <x v="0"/>
    <x v="6"/>
    <x v="0"/>
    <x v="0"/>
    <x v="31"/>
    <x v="3"/>
    <x v="0"/>
    <x v="6"/>
    <x v="10"/>
    <x v="0"/>
  </r>
  <r>
    <x v="953"/>
    <x v="0"/>
    <x v="0"/>
    <x v="4"/>
    <x v="24"/>
    <x v="25"/>
    <x v="19"/>
    <x v="0"/>
    <x v="4"/>
    <x v="4"/>
    <x v="4"/>
    <x v="0"/>
    <x v="0"/>
    <x v="39"/>
    <x v="4"/>
    <x v="4"/>
    <x v="4"/>
    <x v="5"/>
    <x v="0"/>
  </r>
  <r>
    <x v="954"/>
    <x v="0"/>
    <x v="2"/>
    <x v="26"/>
    <x v="18"/>
    <x v="26"/>
    <x v="24"/>
    <x v="0"/>
    <x v="3"/>
    <x v="3"/>
    <x v="0"/>
    <x v="0"/>
    <x v="0"/>
    <x v="19"/>
    <x v="3"/>
    <x v="3"/>
    <x v="0"/>
    <x v="10"/>
    <x v="0"/>
  </r>
  <r>
    <x v="955"/>
    <x v="0"/>
    <x v="0"/>
    <x v="7"/>
    <x v="30"/>
    <x v="14"/>
    <x v="27"/>
    <x v="0"/>
    <x v="0"/>
    <x v="0"/>
    <x v="5"/>
    <x v="0"/>
    <x v="0"/>
    <x v="33"/>
    <x v="0"/>
    <x v="0"/>
    <x v="5"/>
    <x v="0"/>
    <x v="0"/>
  </r>
  <r>
    <x v="956"/>
    <x v="3"/>
    <x v="1"/>
    <x v="6"/>
    <x v="2"/>
    <x v="2"/>
    <x v="2"/>
    <x v="1"/>
    <x v="2"/>
    <x v="2"/>
    <x v="2"/>
    <x v="1"/>
    <x v="5"/>
    <x v="2"/>
    <x v="2"/>
    <x v="2"/>
    <x v="2"/>
    <x v="2"/>
    <x v="0"/>
  </r>
  <r>
    <x v="957"/>
    <x v="0"/>
    <x v="0"/>
    <x v="12"/>
    <x v="25"/>
    <x v="18"/>
    <x v="24"/>
    <x v="0"/>
    <x v="1"/>
    <x v="4"/>
    <x v="6"/>
    <x v="0"/>
    <x v="0"/>
    <x v="11"/>
    <x v="1"/>
    <x v="4"/>
    <x v="6"/>
    <x v="4"/>
    <x v="2"/>
  </r>
  <r>
    <x v="958"/>
    <x v="0"/>
    <x v="0"/>
    <x v="20"/>
    <x v="34"/>
    <x v="22"/>
    <x v="23"/>
    <x v="0"/>
    <x v="1"/>
    <x v="4"/>
    <x v="5"/>
    <x v="0"/>
    <x v="0"/>
    <x v="30"/>
    <x v="1"/>
    <x v="4"/>
    <x v="5"/>
    <x v="10"/>
    <x v="0"/>
  </r>
  <r>
    <x v="959"/>
    <x v="0"/>
    <x v="1"/>
    <x v="11"/>
    <x v="2"/>
    <x v="2"/>
    <x v="2"/>
    <x v="1"/>
    <x v="2"/>
    <x v="2"/>
    <x v="2"/>
    <x v="1"/>
    <x v="3"/>
    <x v="2"/>
    <x v="2"/>
    <x v="2"/>
    <x v="2"/>
    <x v="2"/>
    <x v="0"/>
  </r>
  <r>
    <x v="960"/>
    <x v="0"/>
    <x v="2"/>
    <x v="25"/>
    <x v="30"/>
    <x v="13"/>
    <x v="39"/>
    <x v="0"/>
    <x v="5"/>
    <x v="5"/>
    <x v="3"/>
    <x v="0"/>
    <x v="0"/>
    <x v="9"/>
    <x v="5"/>
    <x v="5"/>
    <x v="3"/>
    <x v="1"/>
    <x v="1"/>
  </r>
  <r>
    <x v="961"/>
    <x v="2"/>
    <x v="0"/>
    <x v="10"/>
    <x v="10"/>
    <x v="4"/>
    <x v="4"/>
    <x v="0"/>
    <x v="1"/>
    <x v="3"/>
    <x v="3"/>
    <x v="0"/>
    <x v="0"/>
    <x v="6"/>
    <x v="1"/>
    <x v="3"/>
    <x v="3"/>
    <x v="5"/>
    <x v="0"/>
  </r>
  <r>
    <x v="962"/>
    <x v="3"/>
    <x v="1"/>
    <x v="25"/>
    <x v="2"/>
    <x v="2"/>
    <x v="2"/>
    <x v="1"/>
    <x v="2"/>
    <x v="2"/>
    <x v="2"/>
    <x v="1"/>
    <x v="1"/>
    <x v="2"/>
    <x v="2"/>
    <x v="2"/>
    <x v="2"/>
    <x v="2"/>
    <x v="0"/>
  </r>
  <r>
    <x v="963"/>
    <x v="1"/>
    <x v="2"/>
    <x v="1"/>
    <x v="19"/>
    <x v="20"/>
    <x v="27"/>
    <x v="0"/>
    <x v="4"/>
    <x v="3"/>
    <x v="4"/>
    <x v="0"/>
    <x v="0"/>
    <x v="20"/>
    <x v="4"/>
    <x v="3"/>
    <x v="4"/>
    <x v="9"/>
    <x v="0"/>
  </r>
  <r>
    <x v="964"/>
    <x v="0"/>
    <x v="0"/>
    <x v="18"/>
    <x v="31"/>
    <x v="27"/>
    <x v="5"/>
    <x v="0"/>
    <x v="4"/>
    <x v="3"/>
    <x v="3"/>
    <x v="0"/>
    <x v="0"/>
    <x v="1"/>
    <x v="4"/>
    <x v="3"/>
    <x v="3"/>
    <x v="3"/>
    <x v="2"/>
  </r>
  <r>
    <x v="965"/>
    <x v="2"/>
    <x v="0"/>
    <x v="13"/>
    <x v="21"/>
    <x v="23"/>
    <x v="12"/>
    <x v="0"/>
    <x v="5"/>
    <x v="0"/>
    <x v="1"/>
    <x v="0"/>
    <x v="0"/>
    <x v="10"/>
    <x v="5"/>
    <x v="0"/>
    <x v="1"/>
    <x v="11"/>
    <x v="1"/>
  </r>
  <r>
    <x v="966"/>
    <x v="2"/>
    <x v="0"/>
    <x v="25"/>
    <x v="30"/>
    <x v="13"/>
    <x v="39"/>
    <x v="0"/>
    <x v="5"/>
    <x v="5"/>
    <x v="3"/>
    <x v="0"/>
    <x v="0"/>
    <x v="18"/>
    <x v="5"/>
    <x v="5"/>
    <x v="3"/>
    <x v="8"/>
    <x v="0"/>
  </r>
  <r>
    <x v="967"/>
    <x v="2"/>
    <x v="0"/>
    <x v="13"/>
    <x v="27"/>
    <x v="23"/>
    <x v="27"/>
    <x v="0"/>
    <x v="0"/>
    <x v="1"/>
    <x v="6"/>
    <x v="0"/>
    <x v="0"/>
    <x v="15"/>
    <x v="0"/>
    <x v="1"/>
    <x v="6"/>
    <x v="11"/>
    <x v="1"/>
  </r>
  <r>
    <x v="968"/>
    <x v="1"/>
    <x v="1"/>
    <x v="17"/>
    <x v="2"/>
    <x v="2"/>
    <x v="2"/>
    <x v="1"/>
    <x v="2"/>
    <x v="2"/>
    <x v="2"/>
    <x v="1"/>
    <x v="4"/>
    <x v="2"/>
    <x v="2"/>
    <x v="2"/>
    <x v="2"/>
    <x v="2"/>
    <x v="0"/>
  </r>
  <r>
    <x v="969"/>
    <x v="0"/>
    <x v="0"/>
    <x v="18"/>
    <x v="0"/>
    <x v="0"/>
    <x v="35"/>
    <x v="0"/>
    <x v="5"/>
    <x v="0"/>
    <x v="5"/>
    <x v="0"/>
    <x v="0"/>
    <x v="51"/>
    <x v="5"/>
    <x v="0"/>
    <x v="5"/>
    <x v="5"/>
    <x v="0"/>
  </r>
  <r>
    <x v="970"/>
    <x v="3"/>
    <x v="2"/>
    <x v="0"/>
    <x v="31"/>
    <x v="27"/>
    <x v="17"/>
    <x v="0"/>
    <x v="3"/>
    <x v="3"/>
    <x v="1"/>
    <x v="0"/>
    <x v="0"/>
    <x v="8"/>
    <x v="3"/>
    <x v="3"/>
    <x v="1"/>
    <x v="4"/>
    <x v="2"/>
  </r>
  <r>
    <x v="971"/>
    <x v="3"/>
    <x v="1"/>
    <x v="23"/>
    <x v="2"/>
    <x v="2"/>
    <x v="2"/>
    <x v="1"/>
    <x v="2"/>
    <x v="2"/>
    <x v="2"/>
    <x v="1"/>
    <x v="5"/>
    <x v="2"/>
    <x v="2"/>
    <x v="2"/>
    <x v="2"/>
    <x v="2"/>
    <x v="0"/>
  </r>
  <r>
    <x v="972"/>
    <x v="2"/>
    <x v="2"/>
    <x v="21"/>
    <x v="22"/>
    <x v="16"/>
    <x v="29"/>
    <x v="0"/>
    <x v="3"/>
    <x v="0"/>
    <x v="4"/>
    <x v="0"/>
    <x v="0"/>
    <x v="20"/>
    <x v="3"/>
    <x v="0"/>
    <x v="4"/>
    <x v="4"/>
    <x v="2"/>
  </r>
  <r>
    <x v="973"/>
    <x v="1"/>
    <x v="0"/>
    <x v="12"/>
    <x v="9"/>
    <x v="27"/>
    <x v="5"/>
    <x v="0"/>
    <x v="3"/>
    <x v="4"/>
    <x v="3"/>
    <x v="0"/>
    <x v="0"/>
    <x v="23"/>
    <x v="3"/>
    <x v="4"/>
    <x v="3"/>
    <x v="3"/>
    <x v="2"/>
  </r>
  <r>
    <x v="974"/>
    <x v="1"/>
    <x v="0"/>
    <x v="1"/>
    <x v="19"/>
    <x v="25"/>
    <x v="15"/>
    <x v="0"/>
    <x v="4"/>
    <x v="0"/>
    <x v="5"/>
    <x v="0"/>
    <x v="0"/>
    <x v="15"/>
    <x v="4"/>
    <x v="0"/>
    <x v="5"/>
    <x v="11"/>
    <x v="1"/>
  </r>
  <r>
    <x v="975"/>
    <x v="1"/>
    <x v="0"/>
    <x v="27"/>
    <x v="24"/>
    <x v="6"/>
    <x v="29"/>
    <x v="0"/>
    <x v="1"/>
    <x v="0"/>
    <x v="0"/>
    <x v="1"/>
    <x v="2"/>
    <x v="2"/>
    <x v="1"/>
    <x v="0"/>
    <x v="0"/>
    <x v="2"/>
    <x v="0"/>
  </r>
  <r>
    <x v="976"/>
    <x v="3"/>
    <x v="0"/>
    <x v="18"/>
    <x v="9"/>
    <x v="18"/>
    <x v="24"/>
    <x v="0"/>
    <x v="0"/>
    <x v="3"/>
    <x v="6"/>
    <x v="1"/>
    <x v="5"/>
    <x v="2"/>
    <x v="0"/>
    <x v="3"/>
    <x v="6"/>
    <x v="2"/>
    <x v="0"/>
  </r>
  <r>
    <x v="977"/>
    <x v="2"/>
    <x v="1"/>
    <x v="16"/>
    <x v="2"/>
    <x v="2"/>
    <x v="2"/>
    <x v="1"/>
    <x v="2"/>
    <x v="2"/>
    <x v="2"/>
    <x v="1"/>
    <x v="4"/>
    <x v="2"/>
    <x v="2"/>
    <x v="2"/>
    <x v="2"/>
    <x v="2"/>
    <x v="0"/>
  </r>
  <r>
    <x v="978"/>
    <x v="0"/>
    <x v="0"/>
    <x v="29"/>
    <x v="14"/>
    <x v="20"/>
    <x v="19"/>
    <x v="0"/>
    <x v="5"/>
    <x v="4"/>
    <x v="3"/>
    <x v="0"/>
    <x v="0"/>
    <x v="15"/>
    <x v="5"/>
    <x v="4"/>
    <x v="3"/>
    <x v="1"/>
    <x v="1"/>
  </r>
  <r>
    <x v="979"/>
    <x v="3"/>
    <x v="0"/>
    <x v="11"/>
    <x v="22"/>
    <x v="24"/>
    <x v="29"/>
    <x v="0"/>
    <x v="0"/>
    <x v="3"/>
    <x v="3"/>
    <x v="0"/>
    <x v="0"/>
    <x v="12"/>
    <x v="0"/>
    <x v="3"/>
    <x v="3"/>
    <x v="7"/>
    <x v="0"/>
  </r>
  <r>
    <x v="980"/>
    <x v="2"/>
    <x v="2"/>
    <x v="16"/>
    <x v="22"/>
    <x v="6"/>
    <x v="15"/>
    <x v="0"/>
    <x v="4"/>
    <x v="4"/>
    <x v="3"/>
    <x v="0"/>
    <x v="0"/>
    <x v="14"/>
    <x v="4"/>
    <x v="4"/>
    <x v="3"/>
    <x v="6"/>
    <x v="0"/>
  </r>
  <r>
    <x v="981"/>
    <x v="2"/>
    <x v="1"/>
    <x v="18"/>
    <x v="2"/>
    <x v="2"/>
    <x v="2"/>
    <x v="1"/>
    <x v="2"/>
    <x v="2"/>
    <x v="2"/>
    <x v="1"/>
    <x v="1"/>
    <x v="2"/>
    <x v="2"/>
    <x v="2"/>
    <x v="2"/>
    <x v="2"/>
    <x v="0"/>
  </r>
  <r>
    <x v="982"/>
    <x v="0"/>
    <x v="1"/>
    <x v="4"/>
    <x v="2"/>
    <x v="2"/>
    <x v="2"/>
    <x v="1"/>
    <x v="2"/>
    <x v="2"/>
    <x v="2"/>
    <x v="1"/>
    <x v="4"/>
    <x v="2"/>
    <x v="2"/>
    <x v="2"/>
    <x v="2"/>
    <x v="2"/>
    <x v="0"/>
  </r>
  <r>
    <x v="983"/>
    <x v="0"/>
    <x v="0"/>
    <x v="7"/>
    <x v="27"/>
    <x v="13"/>
    <x v="14"/>
    <x v="0"/>
    <x v="5"/>
    <x v="4"/>
    <x v="5"/>
    <x v="0"/>
    <x v="0"/>
    <x v="29"/>
    <x v="5"/>
    <x v="4"/>
    <x v="5"/>
    <x v="0"/>
    <x v="0"/>
  </r>
  <r>
    <x v="984"/>
    <x v="0"/>
    <x v="2"/>
    <x v="19"/>
    <x v="4"/>
    <x v="12"/>
    <x v="18"/>
    <x v="0"/>
    <x v="5"/>
    <x v="4"/>
    <x v="6"/>
    <x v="0"/>
    <x v="0"/>
    <x v="0"/>
    <x v="5"/>
    <x v="4"/>
    <x v="6"/>
    <x v="0"/>
    <x v="0"/>
  </r>
  <r>
    <x v="985"/>
    <x v="1"/>
    <x v="2"/>
    <x v="12"/>
    <x v="0"/>
    <x v="8"/>
    <x v="35"/>
    <x v="0"/>
    <x v="4"/>
    <x v="3"/>
    <x v="1"/>
    <x v="0"/>
    <x v="0"/>
    <x v="0"/>
    <x v="4"/>
    <x v="3"/>
    <x v="1"/>
    <x v="11"/>
    <x v="1"/>
  </r>
  <r>
    <x v="986"/>
    <x v="0"/>
    <x v="2"/>
    <x v="7"/>
    <x v="15"/>
    <x v="5"/>
    <x v="6"/>
    <x v="0"/>
    <x v="1"/>
    <x v="4"/>
    <x v="1"/>
    <x v="0"/>
    <x v="0"/>
    <x v="9"/>
    <x v="1"/>
    <x v="4"/>
    <x v="1"/>
    <x v="1"/>
    <x v="1"/>
  </r>
  <r>
    <x v="987"/>
    <x v="2"/>
    <x v="2"/>
    <x v="3"/>
    <x v="34"/>
    <x v="4"/>
    <x v="11"/>
    <x v="0"/>
    <x v="5"/>
    <x v="5"/>
    <x v="6"/>
    <x v="0"/>
    <x v="0"/>
    <x v="24"/>
    <x v="5"/>
    <x v="5"/>
    <x v="6"/>
    <x v="6"/>
    <x v="0"/>
  </r>
  <r>
    <x v="988"/>
    <x v="0"/>
    <x v="0"/>
    <x v="0"/>
    <x v="9"/>
    <x v="26"/>
    <x v="17"/>
    <x v="0"/>
    <x v="1"/>
    <x v="5"/>
    <x v="5"/>
    <x v="0"/>
    <x v="0"/>
    <x v="12"/>
    <x v="1"/>
    <x v="5"/>
    <x v="5"/>
    <x v="8"/>
    <x v="0"/>
  </r>
  <r>
    <x v="989"/>
    <x v="2"/>
    <x v="1"/>
    <x v="0"/>
    <x v="2"/>
    <x v="2"/>
    <x v="2"/>
    <x v="1"/>
    <x v="2"/>
    <x v="2"/>
    <x v="2"/>
    <x v="1"/>
    <x v="2"/>
    <x v="2"/>
    <x v="2"/>
    <x v="2"/>
    <x v="2"/>
    <x v="2"/>
    <x v="0"/>
  </r>
  <r>
    <x v="990"/>
    <x v="3"/>
    <x v="0"/>
    <x v="10"/>
    <x v="4"/>
    <x v="7"/>
    <x v="4"/>
    <x v="0"/>
    <x v="4"/>
    <x v="1"/>
    <x v="4"/>
    <x v="0"/>
    <x v="0"/>
    <x v="7"/>
    <x v="4"/>
    <x v="1"/>
    <x v="4"/>
    <x v="5"/>
    <x v="0"/>
  </r>
  <r>
    <x v="991"/>
    <x v="1"/>
    <x v="2"/>
    <x v="22"/>
    <x v="23"/>
    <x v="31"/>
    <x v="4"/>
    <x v="0"/>
    <x v="0"/>
    <x v="5"/>
    <x v="1"/>
    <x v="0"/>
    <x v="0"/>
    <x v="43"/>
    <x v="0"/>
    <x v="5"/>
    <x v="1"/>
    <x v="9"/>
    <x v="0"/>
  </r>
  <r>
    <x v="992"/>
    <x v="3"/>
    <x v="2"/>
    <x v="21"/>
    <x v="18"/>
    <x v="8"/>
    <x v="35"/>
    <x v="0"/>
    <x v="5"/>
    <x v="1"/>
    <x v="1"/>
    <x v="0"/>
    <x v="0"/>
    <x v="25"/>
    <x v="5"/>
    <x v="1"/>
    <x v="1"/>
    <x v="7"/>
    <x v="0"/>
  </r>
  <r>
    <x v="993"/>
    <x v="3"/>
    <x v="2"/>
    <x v="15"/>
    <x v="12"/>
    <x v="0"/>
    <x v="26"/>
    <x v="0"/>
    <x v="1"/>
    <x v="5"/>
    <x v="6"/>
    <x v="0"/>
    <x v="0"/>
    <x v="0"/>
    <x v="1"/>
    <x v="5"/>
    <x v="6"/>
    <x v="11"/>
    <x v="1"/>
  </r>
  <r>
    <x v="994"/>
    <x v="2"/>
    <x v="2"/>
    <x v="3"/>
    <x v="34"/>
    <x v="7"/>
    <x v="37"/>
    <x v="0"/>
    <x v="5"/>
    <x v="3"/>
    <x v="5"/>
    <x v="0"/>
    <x v="0"/>
    <x v="47"/>
    <x v="5"/>
    <x v="3"/>
    <x v="5"/>
    <x v="10"/>
    <x v="0"/>
  </r>
  <r>
    <x v="995"/>
    <x v="3"/>
    <x v="2"/>
    <x v="28"/>
    <x v="21"/>
    <x v="17"/>
    <x v="12"/>
    <x v="0"/>
    <x v="1"/>
    <x v="1"/>
    <x v="5"/>
    <x v="0"/>
    <x v="0"/>
    <x v="10"/>
    <x v="1"/>
    <x v="1"/>
    <x v="5"/>
    <x v="7"/>
    <x v="0"/>
  </r>
  <r>
    <x v="996"/>
    <x v="2"/>
    <x v="2"/>
    <x v="4"/>
    <x v="22"/>
    <x v="16"/>
    <x v="1"/>
    <x v="0"/>
    <x v="5"/>
    <x v="0"/>
    <x v="3"/>
    <x v="0"/>
    <x v="0"/>
    <x v="3"/>
    <x v="5"/>
    <x v="0"/>
    <x v="3"/>
    <x v="11"/>
    <x v="1"/>
  </r>
  <r>
    <x v="997"/>
    <x v="0"/>
    <x v="0"/>
    <x v="11"/>
    <x v="5"/>
    <x v="28"/>
    <x v="9"/>
    <x v="0"/>
    <x v="5"/>
    <x v="0"/>
    <x v="5"/>
    <x v="0"/>
    <x v="0"/>
    <x v="12"/>
    <x v="5"/>
    <x v="0"/>
    <x v="5"/>
    <x v="9"/>
    <x v="0"/>
  </r>
  <r>
    <x v="998"/>
    <x v="0"/>
    <x v="1"/>
    <x v="10"/>
    <x v="2"/>
    <x v="2"/>
    <x v="2"/>
    <x v="1"/>
    <x v="2"/>
    <x v="2"/>
    <x v="2"/>
    <x v="1"/>
    <x v="3"/>
    <x v="2"/>
    <x v="2"/>
    <x v="2"/>
    <x v="2"/>
    <x v="2"/>
    <x v="0"/>
  </r>
  <r>
    <x v="999"/>
    <x v="2"/>
    <x v="0"/>
    <x v="24"/>
    <x v="19"/>
    <x v="17"/>
    <x v="27"/>
    <x v="0"/>
    <x v="5"/>
    <x v="5"/>
    <x v="3"/>
    <x v="0"/>
    <x v="0"/>
    <x v="19"/>
    <x v="5"/>
    <x v="5"/>
    <x v="3"/>
    <x v="8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12">
  <location ref="A3:G10" firstHeaderRow="1" firstDataRow="3" firstDataCol="1"/>
  <pivotFields count="18">
    <pivotField dataField="1" compact="0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axis="axisRow" compact="0" showAll="0">
      <items count="5">
        <item x="0"/>
        <item x="3"/>
        <item x="1"/>
        <item x="2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numFmtId="181" showAll="0">
      <items count="32">
        <item x="2"/>
        <item x="30"/>
        <item x="25"/>
        <item x="7"/>
        <item x="13"/>
        <item x="14"/>
        <item x="28"/>
        <item x="24"/>
        <item x="17"/>
        <item x="29"/>
        <item x="1"/>
        <item x="9"/>
        <item x="27"/>
        <item x="4"/>
        <item x="11"/>
        <item x="6"/>
        <item x="16"/>
        <item x="21"/>
        <item x="23"/>
        <item x="18"/>
        <item x="0"/>
        <item x="26"/>
        <item x="12"/>
        <item x="15"/>
        <item x="22"/>
        <item x="19"/>
        <item x="5"/>
        <item x="3"/>
        <item x="10"/>
        <item x="20"/>
        <item x="8"/>
        <item t="default"/>
      </items>
    </pivotField>
    <pivotField compact="0" showAll="0">
      <items count="37">
        <item x="29"/>
        <item x="33"/>
        <item x="26"/>
        <item x="6"/>
        <item x="13"/>
        <item x="15"/>
        <item x="30"/>
        <item x="27"/>
        <item x="21"/>
        <item x="17"/>
        <item x="20"/>
        <item x="19"/>
        <item x="1"/>
        <item x="14"/>
        <item x="24"/>
        <item x="7"/>
        <item x="3"/>
        <item x="22"/>
        <item x="5"/>
        <item x="16"/>
        <item x="31"/>
        <item x="18"/>
        <item x="9"/>
        <item x="0"/>
        <item x="25"/>
        <item x="12"/>
        <item x="28"/>
        <item x="23"/>
        <item x="11"/>
        <item x="4"/>
        <item x="10"/>
        <item x="34"/>
        <item x="35"/>
        <item x="8"/>
        <item x="32"/>
        <item x="2"/>
        <item t="default"/>
      </items>
    </pivotField>
    <pivotField compact="0" showAll="0">
      <items count="41">
        <item x="35"/>
        <item x="34"/>
        <item x="32"/>
        <item x="29"/>
        <item x="36"/>
        <item x="5"/>
        <item x="37"/>
        <item x="13"/>
        <item x="30"/>
        <item x="14"/>
        <item x="21"/>
        <item x="23"/>
        <item x="17"/>
        <item x="20"/>
        <item x="25"/>
        <item x="11"/>
        <item x="1"/>
        <item x="6"/>
        <item x="3"/>
        <item x="24"/>
        <item x="16"/>
        <item x="28"/>
        <item x="27"/>
        <item x="26"/>
        <item x="18"/>
        <item x="8"/>
        <item x="0"/>
        <item x="15"/>
        <item x="31"/>
        <item x="12"/>
        <item x="10"/>
        <item x="22"/>
        <item x="4"/>
        <item x="7"/>
        <item x="9"/>
        <item x="38"/>
        <item x="33"/>
        <item x="19"/>
        <item x="39"/>
        <item x="2"/>
        <item t="default"/>
      </items>
    </pivotField>
    <pivotField compact="0" showAll="0">
      <items count="46">
        <item x="7"/>
        <item x="42"/>
        <item x="38"/>
        <item x="30"/>
        <item x="36"/>
        <item x="31"/>
        <item x="43"/>
        <item x="28"/>
        <item x="39"/>
        <item x="25"/>
        <item x="6"/>
        <item x="14"/>
        <item x="16"/>
        <item x="27"/>
        <item x="19"/>
        <item x="22"/>
        <item x="12"/>
        <item x="32"/>
        <item x="15"/>
        <item x="3"/>
        <item x="29"/>
        <item x="1"/>
        <item x="33"/>
        <item x="5"/>
        <item x="21"/>
        <item x="9"/>
        <item x="24"/>
        <item x="17"/>
        <item x="26"/>
        <item x="0"/>
        <item x="35"/>
        <item x="18"/>
        <item x="13"/>
        <item x="4"/>
        <item x="11"/>
        <item x="23"/>
        <item x="8"/>
        <item x="37"/>
        <item x="40"/>
        <item x="10"/>
        <item x="34"/>
        <item x="20"/>
        <item x="44"/>
        <item x="41"/>
        <item x="2"/>
        <item t="default"/>
      </items>
    </pivotField>
    <pivotField axis="axisCol" compact="0" multipleItemSelectionAllowed="1" showAll="0">
      <items count="4">
        <item x="0"/>
        <item m="1" x="2"/>
        <item x="1"/>
        <item t="default"/>
      </items>
    </pivotField>
    <pivotField compact="0" numFmtId="182" showAll="0">
      <items count="7">
        <item x="2"/>
        <item x="3"/>
        <item x="4"/>
        <item x="1"/>
        <item x="0"/>
        <item x="5"/>
        <item t="default"/>
      </items>
    </pivotField>
    <pivotField compact="0" numFmtId="182" showAll="0">
      <items count="7">
        <item x="2"/>
        <item x="4"/>
        <item x="5"/>
        <item x="3"/>
        <item x="0"/>
        <item x="1"/>
        <item t="default"/>
      </items>
    </pivotField>
    <pivotField compact="0" numFmtId="182" showAll="0">
      <items count="8">
        <item x="2"/>
        <item x="4"/>
        <item x="3"/>
        <item x="6"/>
        <item x="0"/>
        <item x="5"/>
        <item x="1"/>
        <item t="default"/>
      </items>
    </pivotField>
    <pivotField axis="axisCol" compact="0" showAll="0">
      <items count="3">
        <item x="0"/>
        <item x="1"/>
        <item t="default"/>
      </items>
    </pivotField>
    <pivotField compact="0" showAll="0">
      <items count="7">
        <item x="3"/>
        <item x="4"/>
        <item x="2"/>
        <item x="1"/>
        <item x="5"/>
        <item x="0"/>
        <item t="default"/>
      </items>
    </pivotField>
    <pivotField compact="0" showAll="0">
      <items count="58">
        <item x="55"/>
        <item x="35"/>
        <item x="45"/>
        <item x="28"/>
        <item x="41"/>
        <item x="36"/>
        <item x="9"/>
        <item x="37"/>
        <item x="46"/>
        <item x="29"/>
        <item x="34"/>
        <item x="38"/>
        <item x="33"/>
        <item x="15"/>
        <item x="39"/>
        <item x="22"/>
        <item x="4"/>
        <item x="18"/>
        <item x="26"/>
        <item x="32"/>
        <item x="17"/>
        <item x="5"/>
        <item x="11"/>
        <item x="3"/>
        <item x="19"/>
        <item x="25"/>
        <item x="20"/>
        <item x="42"/>
        <item x="14"/>
        <item x="10"/>
        <item x="12"/>
        <item x="24"/>
        <item x="31"/>
        <item x="1"/>
        <item x="8"/>
        <item x="30"/>
        <item x="49"/>
        <item x="23"/>
        <item x="43"/>
        <item x="0"/>
        <item x="21"/>
        <item x="6"/>
        <item x="27"/>
        <item x="44"/>
        <item x="51"/>
        <item x="13"/>
        <item x="16"/>
        <item x="52"/>
        <item x="7"/>
        <item x="40"/>
        <item x="47"/>
        <item x="53"/>
        <item x="50"/>
        <item x="48"/>
        <item x="54"/>
        <item x="56"/>
        <item x="2"/>
        <item t="default"/>
      </items>
    </pivotField>
    <pivotField compact="0" showAll="0">
      <items count="7">
        <item x="3"/>
        <item x="4"/>
        <item x="1"/>
        <item x="0"/>
        <item x="5"/>
        <item x="2"/>
        <item t="default"/>
      </items>
    </pivotField>
    <pivotField compact="0" showAll="0">
      <items count="7">
        <item x="4"/>
        <item x="5"/>
        <item x="3"/>
        <item x="0"/>
        <item x="1"/>
        <item x="2"/>
        <item t="default"/>
      </items>
    </pivotField>
    <pivotField compact="0" showAll="0">
      <items count="8">
        <item x="4"/>
        <item x="3"/>
        <item x="6"/>
        <item x="0"/>
        <item x="5"/>
        <item x="1"/>
        <item x="2"/>
        <item t="default"/>
      </items>
    </pivotField>
    <pivotField compact="0" showAll="0">
      <items count="13">
        <item x="6"/>
        <item x="10"/>
        <item x="0"/>
        <item x="9"/>
        <item x="8"/>
        <item x="7"/>
        <item x="5"/>
        <item x="11"/>
        <item x="1"/>
        <item x="3"/>
        <item x="4"/>
        <item x="2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2">
    <field x="7"/>
    <field x="11"/>
  </colFields>
  <colItems count="6">
    <i>
      <x/>
      <x/>
    </i>
    <i r="1">
      <x v="1"/>
    </i>
    <i t="default">
      <x/>
    </i>
    <i>
      <x v="2"/>
      <x v="1"/>
    </i>
    <i t="default">
      <x v="2"/>
    </i>
    <i t="grand">
      <x/>
    </i>
  </colItems>
  <dataFields count="1">
    <dataField name="Count of Lead ID" fld="0" subtotal="count" showDataAs="percentOfRow" baseField="0" baseItem="0" numFmtId="10"/>
  </dataFields>
  <formats count="10">
    <format dxfId="0">
      <pivotArea field="7" type="button" dataOnly="0" labelOnly="1" outline="0" fieldPosition="0"/>
    </format>
    <format dxfId="1">
      <pivotArea field="11" type="button" dataOnly="0" labelOnly="1" outline="0" fieldPosition="0"/>
    </format>
    <format dxfId="2">
      <pivotArea dataOnly="0" labelOnly="1" fieldPosition="0">
        <references count="1">
          <reference field="7" count="0" defaultSubtotal="1"/>
        </references>
      </pivotArea>
    </format>
    <format dxfId="3">
      <pivotArea dataOnly="0" labelOnly="1" fieldPosition="0">
        <references count="2">
          <reference field="11" count="1">
            <x v="0"/>
          </reference>
          <reference field="7" count="1" selected="0">
            <x v="0"/>
          </reference>
        </references>
      </pivotArea>
    </format>
    <format dxfId="4">
      <pivotArea dataOnly="0" labelOnly="1" fieldPosition="0">
        <references count="2">
          <reference field="11" count="1">
            <x v="1"/>
          </reference>
          <reference field="7" count="1" selected="0">
            <x v="0"/>
          </reference>
        </references>
      </pivotArea>
    </format>
    <format dxfId="5">
      <pivotArea dataOnly="0" labelOnly="1" fieldPosition="0">
        <references count="2">
          <reference field="11" count="1">
            <x v="1"/>
          </reference>
          <reference field="7" count="1" selected="0">
            <x v="1"/>
          </reference>
        </references>
      </pivotArea>
    </format>
    <format dxfId="6">
      <pivotArea dataOnly="0" labelOnly="1" grandCol="1" fieldPosition="0"/>
    </format>
    <format dxfId="7">
      <pivotArea collapsedLevelsAreSubtotals="1" fieldPosition="0"/>
    </format>
    <format dxfId="8">
      <pivotArea collapsedLevelsAreSubtotals="1" fieldPosition="0"/>
    </format>
    <format dxfId="9">
      <pivotArea grandRow="1" collapsedLevelsAreSubtotals="1" fieldPosition="0"/>
    </format>
  </formats>
  <pivotTableStyleInfo name="PivotStylePreset5_Accent4" showRowHeaders="1" showColHeaders="1" showRowStripe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D8" firstHeaderRow="0" firstDataRow="1" firstDataCol="1"/>
  <pivotFields count="18">
    <pivotField compact="0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axis="axisRow" compact="0" showAll="0">
      <items count="5">
        <item x="0"/>
        <item x="3"/>
        <item x="1"/>
        <item x="2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numFmtId="181" showAll="0">
      <items count="32">
        <item x="2"/>
        <item x="30"/>
        <item x="25"/>
        <item x="7"/>
        <item x="13"/>
        <item x="14"/>
        <item x="28"/>
        <item x="24"/>
        <item x="17"/>
        <item x="29"/>
        <item x="1"/>
        <item x="9"/>
        <item x="27"/>
        <item x="4"/>
        <item x="11"/>
        <item x="6"/>
        <item x="16"/>
        <item x="21"/>
        <item x="23"/>
        <item x="18"/>
        <item x="0"/>
        <item x="26"/>
        <item x="12"/>
        <item x="15"/>
        <item x="22"/>
        <item x="19"/>
        <item x="5"/>
        <item x="3"/>
        <item x="10"/>
        <item x="20"/>
        <item x="8"/>
        <item t="default"/>
      </items>
    </pivotField>
    <pivotField compact="0" showAll="0">
      <items count="37">
        <item x="29"/>
        <item x="33"/>
        <item x="26"/>
        <item x="6"/>
        <item x="13"/>
        <item x="15"/>
        <item x="30"/>
        <item x="27"/>
        <item x="21"/>
        <item x="17"/>
        <item x="20"/>
        <item x="19"/>
        <item x="1"/>
        <item x="14"/>
        <item x="24"/>
        <item x="7"/>
        <item x="3"/>
        <item x="22"/>
        <item x="5"/>
        <item x="16"/>
        <item x="31"/>
        <item x="18"/>
        <item x="9"/>
        <item x="0"/>
        <item x="25"/>
        <item x="12"/>
        <item x="28"/>
        <item x="23"/>
        <item x="11"/>
        <item x="4"/>
        <item x="10"/>
        <item x="34"/>
        <item x="35"/>
        <item x="8"/>
        <item x="32"/>
        <item x="2"/>
        <item t="default"/>
      </items>
    </pivotField>
    <pivotField compact="0" showAll="0">
      <items count="41">
        <item x="35"/>
        <item x="34"/>
        <item x="32"/>
        <item x="29"/>
        <item x="36"/>
        <item x="5"/>
        <item x="37"/>
        <item x="13"/>
        <item x="30"/>
        <item x="14"/>
        <item x="21"/>
        <item x="23"/>
        <item x="17"/>
        <item x="20"/>
        <item x="25"/>
        <item x="11"/>
        <item x="1"/>
        <item x="6"/>
        <item x="3"/>
        <item x="24"/>
        <item x="16"/>
        <item x="28"/>
        <item x="27"/>
        <item x="26"/>
        <item x="18"/>
        <item x="8"/>
        <item x="0"/>
        <item x="15"/>
        <item x="31"/>
        <item x="12"/>
        <item x="10"/>
        <item x="22"/>
        <item x="4"/>
        <item x="7"/>
        <item x="9"/>
        <item x="38"/>
        <item x="33"/>
        <item x="19"/>
        <item x="39"/>
        <item x="2"/>
        <item t="default"/>
      </items>
    </pivotField>
    <pivotField compact="0" showAll="0">
      <items count="46">
        <item x="7"/>
        <item x="42"/>
        <item x="38"/>
        <item x="30"/>
        <item x="36"/>
        <item x="31"/>
        <item x="43"/>
        <item x="28"/>
        <item x="39"/>
        <item x="25"/>
        <item x="6"/>
        <item x="14"/>
        <item x="16"/>
        <item x="27"/>
        <item x="19"/>
        <item x="22"/>
        <item x="12"/>
        <item x="32"/>
        <item x="15"/>
        <item x="3"/>
        <item x="29"/>
        <item x="1"/>
        <item x="33"/>
        <item x="5"/>
        <item x="21"/>
        <item x="9"/>
        <item x="24"/>
        <item x="17"/>
        <item x="26"/>
        <item x="0"/>
        <item x="35"/>
        <item x="18"/>
        <item x="13"/>
        <item x="4"/>
        <item x="11"/>
        <item x="23"/>
        <item x="8"/>
        <item x="37"/>
        <item x="40"/>
        <item x="10"/>
        <item x="34"/>
        <item x="20"/>
        <item x="44"/>
        <item x="41"/>
        <item x="2"/>
        <item t="default"/>
      </items>
    </pivotField>
    <pivotField compact="0" showAll="0">
      <items count="4">
        <item x="0"/>
        <item m="1" x="2"/>
        <item x="1"/>
        <item t="default"/>
      </items>
    </pivotField>
    <pivotField dataField="1" compact="0" numFmtId="182" showAll="0">
      <items count="7">
        <item x="2"/>
        <item x="3"/>
        <item x="4"/>
        <item x="1"/>
        <item x="0"/>
        <item x="5"/>
        <item t="default"/>
      </items>
    </pivotField>
    <pivotField dataField="1" compact="0" numFmtId="182" showAll="0">
      <items count="7">
        <item x="2"/>
        <item x="4"/>
        <item x="5"/>
        <item x="3"/>
        <item x="0"/>
        <item x="1"/>
        <item t="default"/>
      </items>
    </pivotField>
    <pivotField dataField="1" compact="0" numFmtId="182" showAll="0">
      <items count="8">
        <item x="2"/>
        <item x="4"/>
        <item x="3"/>
        <item x="6"/>
        <item x="0"/>
        <item x="5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7">
        <item x="3"/>
        <item x="4"/>
        <item x="2"/>
        <item x="1"/>
        <item x="5"/>
        <item x="0"/>
        <item t="default"/>
      </items>
    </pivotField>
    <pivotField compact="0" showAll="0">
      <items count="58">
        <item x="55"/>
        <item x="35"/>
        <item x="45"/>
        <item x="28"/>
        <item x="41"/>
        <item x="36"/>
        <item x="9"/>
        <item x="37"/>
        <item x="46"/>
        <item x="29"/>
        <item x="34"/>
        <item x="38"/>
        <item x="33"/>
        <item x="15"/>
        <item x="39"/>
        <item x="22"/>
        <item x="4"/>
        <item x="18"/>
        <item x="26"/>
        <item x="32"/>
        <item x="17"/>
        <item x="5"/>
        <item x="11"/>
        <item x="3"/>
        <item x="19"/>
        <item x="25"/>
        <item x="20"/>
        <item x="42"/>
        <item x="14"/>
        <item x="10"/>
        <item x="12"/>
        <item x="24"/>
        <item x="31"/>
        <item x="1"/>
        <item x="8"/>
        <item x="30"/>
        <item x="49"/>
        <item x="23"/>
        <item x="43"/>
        <item x="0"/>
        <item x="21"/>
        <item x="6"/>
        <item x="27"/>
        <item x="44"/>
        <item x="51"/>
        <item x="13"/>
        <item x="16"/>
        <item x="52"/>
        <item x="7"/>
        <item x="40"/>
        <item x="47"/>
        <item x="53"/>
        <item x="50"/>
        <item x="48"/>
        <item x="54"/>
        <item x="56"/>
        <item x="2"/>
        <item t="default"/>
      </items>
    </pivotField>
    <pivotField compact="0" showAll="0">
      <items count="7">
        <item x="3"/>
        <item x="4"/>
        <item x="1"/>
        <item x="0"/>
        <item x="5"/>
        <item x="2"/>
        <item t="default"/>
      </items>
    </pivotField>
    <pivotField compact="0" showAll="0">
      <items count="7">
        <item x="4"/>
        <item x="5"/>
        <item x="3"/>
        <item x="0"/>
        <item x="1"/>
        <item x="2"/>
        <item t="default"/>
      </items>
    </pivotField>
    <pivotField compact="0" showAll="0">
      <items count="8">
        <item x="4"/>
        <item x="3"/>
        <item x="6"/>
        <item x="0"/>
        <item x="5"/>
        <item x="1"/>
        <item x="2"/>
        <item t="default"/>
      </items>
    </pivotField>
    <pivotField compact="0" showAll="0">
      <items count="13">
        <item x="6"/>
        <item x="10"/>
        <item x="0"/>
        <item x="9"/>
        <item x="8"/>
        <item x="7"/>
        <item x="5"/>
        <item x="11"/>
        <item x="1"/>
        <item x="3"/>
        <item x="4"/>
        <item x="2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g of Pre-booking TAT (days)" fld="8" subtotal="average" baseField="0" baseItem="0" numFmtId="1"/>
    <dataField name="Avg of Booking TAT (days)" fld="9" subtotal="average" baseField="0" baseItem="0" numFmtId="1"/>
    <dataField name="Avg of Delivery TAT (days)" fld="10" subtotal="average" baseField="0" baseItem="0" numFmtId="1"/>
  </dataFields>
  <formats count="23">
    <format dxfId="10">
      <pivotArea dataOnly="0" labelOnly="1" fieldPosition="0">
        <references count="1">
          <reference field="4294967294" count="1">
            <x v="0"/>
          </reference>
        </references>
      </pivotArea>
    </format>
    <format dxfId="11">
      <pivotArea dataOnly="0" labelOnly="1" fieldPosition="0">
        <references count="1">
          <reference field="4294967294" count="1">
            <x v="1"/>
          </reference>
        </references>
      </pivotArea>
    </format>
    <format dxfId="12">
      <pivotArea dataOnly="0" labelOnly="1" fieldPosition="0">
        <references count="1">
          <reference field="4294967294" count="1">
            <x v="2"/>
          </reference>
        </references>
      </pivotArea>
    </format>
    <format dxfId="13">
      <pivotArea collapsedLevelsAreSubtotals="1" fieldPosition="0">
        <references count="2">
          <reference field="1" count="1" selected="0">
            <x v="0"/>
          </reference>
          <reference field="4294967294" count="1" selected="0">
            <x v="1"/>
          </reference>
        </references>
      </pivotArea>
    </format>
    <format dxfId="14">
      <pivotArea collapsedLevelsAreSubtotals="1" fieldPosition="0">
        <references count="2">
          <reference field="1" count="1" selected="0">
            <x v="0"/>
          </reference>
          <reference field="4294967294" count="1" selected="0">
            <x v="2"/>
          </reference>
        </references>
      </pivotArea>
    </format>
    <format dxfId="15">
      <pivotArea collapsedLevelsAreSubtotals="1" fieldPosition="0">
        <references count="2">
          <reference field="1" count="1" selected="0">
            <x v="1"/>
          </reference>
          <reference field="4294967294" count="1" selected="0">
            <x v="0"/>
          </reference>
        </references>
      </pivotArea>
    </format>
    <format dxfId="16">
      <pivotArea collapsedLevelsAreSubtotals="1" fieldPosition="0">
        <references count="2">
          <reference field="1" count="1" selected="0">
            <x v="1"/>
          </reference>
          <reference field="4294967294" count="1" selected="0">
            <x v="1"/>
          </reference>
        </references>
      </pivotArea>
    </format>
    <format dxfId="17">
      <pivotArea collapsedLevelsAreSubtotals="1" fieldPosition="0">
        <references count="2">
          <reference field="1" count="1" selected="0">
            <x v="1"/>
          </reference>
          <reference field="4294967294" count="1" selected="0">
            <x v="2"/>
          </reference>
        </references>
      </pivotArea>
    </format>
    <format dxfId="18">
      <pivotArea collapsedLevelsAreSubtotals="1" fieldPosition="0">
        <references count="2">
          <reference field="1" count="1" selected="0">
            <x v="2"/>
          </reference>
          <reference field="4294967294" count="1" selected="0">
            <x v="0"/>
          </reference>
        </references>
      </pivotArea>
    </format>
    <format dxfId="19">
      <pivotArea collapsedLevelsAreSubtotals="1" fieldPosition="0">
        <references count="2">
          <reference field="1" count="1" selected="0">
            <x v="2"/>
          </reference>
          <reference field="4294967294" count="1" selected="0">
            <x v="1"/>
          </reference>
        </references>
      </pivotArea>
    </format>
    <format dxfId="20">
      <pivotArea collapsedLevelsAreSubtotals="1" fieldPosition="0">
        <references count="2">
          <reference field="1" count="1" selected="0">
            <x v="2"/>
          </reference>
          <reference field="4294967294" count="1" selected="0">
            <x v="2"/>
          </reference>
        </references>
      </pivotArea>
    </format>
    <format dxfId="21">
      <pivotArea collapsedLevelsAreSubtotals="1" fieldPosition="0">
        <references count="2">
          <reference field="1" count="1" selected="0">
            <x v="3"/>
          </reference>
          <reference field="4294967294" count="1" selected="0">
            <x v="0"/>
          </reference>
        </references>
      </pivotArea>
    </format>
    <format dxfId="22">
      <pivotArea collapsedLevelsAreSubtotals="1" fieldPosition="0">
        <references count="2">
          <reference field="1" count="1" selected="0">
            <x v="3"/>
          </reference>
          <reference field="4294967294" count="1" selected="0">
            <x v="1"/>
          </reference>
        </references>
      </pivotArea>
    </format>
    <format dxfId="23">
      <pivotArea collapsedLevelsAreSubtotals="1" fieldPosition="0">
        <references count="2">
          <reference field="1" count="1" selected="0">
            <x v="3"/>
          </reference>
          <reference field="4294967294" count="1" selected="0">
            <x v="2"/>
          </reference>
        </references>
      </pivotArea>
    </format>
    <format dxfId="24">
      <pivotArea grandRow="1" collapsedLevelsAreSubtotals="1" fieldPosition="0">
        <references count="1">
          <reference field="4294967294" count="1" selected="0">
            <x v="0"/>
          </reference>
        </references>
      </pivotArea>
    </format>
    <format dxfId="25">
      <pivotArea grandRow="1" collapsedLevelsAreSubtotals="1" fieldPosition="0">
        <references count="1">
          <reference field="4294967294" count="1" selected="0">
            <x v="1"/>
          </reference>
        </references>
      </pivotArea>
    </format>
    <format dxfId="26">
      <pivotArea grandRow="1" collapsedLevelsAreSubtotals="1" fieldPosition="0">
        <references count="1">
          <reference field="4294967294" count="1" selected="0">
            <x v="2"/>
          </reference>
        </references>
      </pivotArea>
    </format>
    <format dxfId="27">
      <pivotArea dataOnly="0" labelOnly="1" fieldPosition="0">
        <references count="1">
          <reference field="4294967294" count="1">
            <x v="2"/>
          </reference>
        </references>
      </pivotArea>
    </format>
    <format dxfId="28">
      <pivotArea collapsedLevelsAreSubtotals="1" fieldPosition="0">
        <references count="1">
          <reference field="4294967294" count="1" selected="0">
            <x v="2"/>
          </reference>
        </references>
      </pivotArea>
    </format>
    <format dxfId="29">
      <pivotArea dataOnly="0" labelOnly="1" fieldPosition="0">
        <references count="1">
          <reference field="4294967294" count="1">
            <x v="1"/>
          </reference>
        </references>
      </pivotArea>
    </format>
    <format dxfId="30">
      <pivotArea collapsedLevelsAreSubtotals="1" fieldPosition="0">
        <references count="1">
          <reference field="4294967294" count="1" selected="0">
            <x v="1"/>
          </reference>
        </references>
      </pivotArea>
    </format>
    <format dxfId="31">
      <pivotArea dataOnly="0" labelOnly="1" fieldPosition="0">
        <references count="1">
          <reference field="4294967294" count="1">
            <x v="0"/>
          </reference>
        </references>
      </pivotArea>
    </format>
    <format dxfId="32">
      <pivotArea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Preset5_Accent4" showRowHeaders="1" showColHeaders="1" showRowStripe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E9" firstHeaderRow="1" firstDataRow="2" firstDataCol="1"/>
  <pivotFields count="18">
    <pivotField dataField="1" compact="0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axis="axisRow" compact="0" showAll="0">
      <items count="5">
        <item x="0"/>
        <item x="3"/>
        <item x="1"/>
        <item x="2"/>
        <item t="default"/>
      </items>
    </pivotField>
    <pivotField axis="axisCol" compact="0" showAll="0">
      <items count="4">
        <item x="1"/>
        <item x="2"/>
        <item x="0"/>
        <item t="default"/>
      </items>
    </pivotField>
    <pivotField compact="0" numFmtId="181" showAll="0">
      <items count="32">
        <item x="2"/>
        <item x="30"/>
        <item x="25"/>
        <item x="7"/>
        <item x="13"/>
        <item x="14"/>
        <item x="28"/>
        <item x="24"/>
        <item x="17"/>
        <item x="29"/>
        <item x="1"/>
        <item x="9"/>
        <item x="27"/>
        <item x="4"/>
        <item x="11"/>
        <item x="6"/>
        <item x="16"/>
        <item x="21"/>
        <item x="23"/>
        <item x="18"/>
        <item x="0"/>
        <item x="26"/>
        <item x="12"/>
        <item x="15"/>
        <item x="22"/>
        <item x="19"/>
        <item x="5"/>
        <item x="3"/>
        <item x="10"/>
        <item x="20"/>
        <item x="8"/>
        <item t="default"/>
      </items>
    </pivotField>
    <pivotField compact="0" showAll="0">
      <items count="37">
        <item x="29"/>
        <item x="33"/>
        <item x="26"/>
        <item x="6"/>
        <item x="13"/>
        <item x="15"/>
        <item x="30"/>
        <item x="27"/>
        <item x="21"/>
        <item x="17"/>
        <item x="20"/>
        <item x="19"/>
        <item x="1"/>
        <item x="14"/>
        <item x="24"/>
        <item x="7"/>
        <item x="3"/>
        <item x="22"/>
        <item x="5"/>
        <item x="16"/>
        <item x="31"/>
        <item x="18"/>
        <item x="9"/>
        <item x="0"/>
        <item x="25"/>
        <item x="12"/>
        <item x="28"/>
        <item x="23"/>
        <item x="11"/>
        <item x="4"/>
        <item x="10"/>
        <item x="34"/>
        <item x="35"/>
        <item x="8"/>
        <item x="32"/>
        <item x="2"/>
        <item t="default"/>
      </items>
    </pivotField>
    <pivotField compact="0" showAll="0">
      <items count="41">
        <item x="35"/>
        <item x="34"/>
        <item x="32"/>
        <item x="29"/>
        <item x="36"/>
        <item x="5"/>
        <item x="37"/>
        <item x="13"/>
        <item x="30"/>
        <item x="14"/>
        <item x="21"/>
        <item x="23"/>
        <item x="17"/>
        <item x="20"/>
        <item x="25"/>
        <item x="11"/>
        <item x="1"/>
        <item x="6"/>
        <item x="3"/>
        <item x="24"/>
        <item x="16"/>
        <item x="28"/>
        <item x="27"/>
        <item x="26"/>
        <item x="18"/>
        <item x="8"/>
        <item x="0"/>
        <item x="15"/>
        <item x="31"/>
        <item x="12"/>
        <item x="10"/>
        <item x="22"/>
        <item x="4"/>
        <item x="7"/>
        <item x="9"/>
        <item x="38"/>
        <item x="33"/>
        <item x="19"/>
        <item x="39"/>
        <item x="2"/>
        <item t="default"/>
      </items>
    </pivotField>
    <pivotField compact="0" showAll="0">
      <items count="46">
        <item x="7"/>
        <item x="42"/>
        <item x="38"/>
        <item x="30"/>
        <item x="36"/>
        <item x="31"/>
        <item x="43"/>
        <item x="28"/>
        <item x="39"/>
        <item x="25"/>
        <item x="6"/>
        <item x="14"/>
        <item x="16"/>
        <item x="27"/>
        <item x="19"/>
        <item x="22"/>
        <item x="12"/>
        <item x="32"/>
        <item x="15"/>
        <item x="3"/>
        <item x="29"/>
        <item x="1"/>
        <item x="33"/>
        <item x="5"/>
        <item x="21"/>
        <item x="9"/>
        <item x="24"/>
        <item x="17"/>
        <item x="26"/>
        <item x="0"/>
        <item x="35"/>
        <item x="18"/>
        <item x="13"/>
        <item x="4"/>
        <item x="11"/>
        <item x="23"/>
        <item x="8"/>
        <item x="37"/>
        <item x="40"/>
        <item x="10"/>
        <item x="34"/>
        <item x="20"/>
        <item x="44"/>
        <item x="41"/>
        <item x="2"/>
        <item t="default"/>
      </items>
    </pivotField>
    <pivotField compact="0" showAll="0">
      <items count="4">
        <item x="0"/>
        <item m="1" x="2"/>
        <item x="1"/>
        <item t="default"/>
      </items>
    </pivotField>
    <pivotField compact="0" numFmtId="182" showAll="0">
      <items count="7">
        <item x="2"/>
        <item x="3"/>
        <item x="4"/>
        <item x="1"/>
        <item x="0"/>
        <item x="5"/>
        <item t="default"/>
      </items>
    </pivotField>
    <pivotField compact="0" numFmtId="182" showAll="0">
      <items count="7">
        <item x="2"/>
        <item x="4"/>
        <item x="5"/>
        <item x="3"/>
        <item x="0"/>
        <item x="1"/>
        <item t="default"/>
      </items>
    </pivotField>
    <pivotField compact="0" numFmtId="182" showAll="0">
      <items count="8">
        <item x="2"/>
        <item x="4"/>
        <item x="3"/>
        <item x="6"/>
        <item x="0"/>
        <item x="5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7">
        <item x="3"/>
        <item x="4"/>
        <item x="2"/>
        <item x="1"/>
        <item x="5"/>
        <item x="0"/>
        <item t="default"/>
      </items>
    </pivotField>
    <pivotField compact="0" showAll="0">
      <items count="58">
        <item x="55"/>
        <item x="35"/>
        <item x="45"/>
        <item x="28"/>
        <item x="41"/>
        <item x="36"/>
        <item x="9"/>
        <item x="37"/>
        <item x="46"/>
        <item x="29"/>
        <item x="34"/>
        <item x="38"/>
        <item x="33"/>
        <item x="15"/>
        <item x="39"/>
        <item x="22"/>
        <item x="4"/>
        <item x="18"/>
        <item x="26"/>
        <item x="32"/>
        <item x="17"/>
        <item x="5"/>
        <item x="11"/>
        <item x="3"/>
        <item x="19"/>
        <item x="25"/>
        <item x="20"/>
        <item x="42"/>
        <item x="14"/>
        <item x="10"/>
        <item x="12"/>
        <item x="24"/>
        <item x="31"/>
        <item x="1"/>
        <item x="8"/>
        <item x="30"/>
        <item x="49"/>
        <item x="23"/>
        <item x="43"/>
        <item x="0"/>
        <item x="21"/>
        <item x="6"/>
        <item x="27"/>
        <item x="44"/>
        <item x="51"/>
        <item x="13"/>
        <item x="16"/>
        <item x="52"/>
        <item x="7"/>
        <item x="40"/>
        <item x="47"/>
        <item x="53"/>
        <item x="50"/>
        <item x="48"/>
        <item x="54"/>
        <item x="56"/>
        <item x="2"/>
        <item t="default"/>
      </items>
    </pivotField>
    <pivotField compact="0" showAll="0">
      <items count="7">
        <item x="3"/>
        <item x="4"/>
        <item x="1"/>
        <item x="0"/>
        <item x="5"/>
        <item x="2"/>
        <item t="default"/>
      </items>
    </pivotField>
    <pivotField compact="0" showAll="0">
      <items count="7">
        <item x="4"/>
        <item x="5"/>
        <item x="3"/>
        <item x="0"/>
        <item x="1"/>
        <item x="2"/>
        <item t="default"/>
      </items>
    </pivotField>
    <pivotField compact="0" showAll="0">
      <items count="8">
        <item x="4"/>
        <item x="3"/>
        <item x="6"/>
        <item x="0"/>
        <item x="5"/>
        <item x="1"/>
        <item x="2"/>
        <item t="default"/>
      </items>
    </pivotField>
    <pivotField compact="0" showAll="0">
      <items count="13">
        <item x="6"/>
        <item x="10"/>
        <item x="0"/>
        <item x="9"/>
        <item x="8"/>
        <item x="7"/>
        <item x="5"/>
        <item x="11"/>
        <item x="1"/>
        <item x="3"/>
        <item x="4"/>
        <item x="2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Count of Lead ID" fld="0" subtotal="count" showDataAs="percentOfRow" baseField="0" baseItem="0" numFmtId="9"/>
  </dataFields>
  <formats count="10">
    <format dxfId="33">
      <pivotArea dataOnly="0" labelOnly="1" grandRow="1" fieldPosition="0"/>
    </format>
    <format dxfId="34">
      <pivotArea grandRow="1" collapsedLevelsAreSubtotals="1" fieldPosition="0"/>
    </format>
    <format dxfId="35">
      <pivotArea dataOnly="0" labelOnly="1" grandRow="1" fieldPosition="0"/>
    </format>
    <format dxfId="36">
      <pivotArea grandRow="1" collapsedLevelsAreSubtotals="1" fieldPosition="0"/>
    </format>
    <format dxfId="37">
      <pivotArea dataOnly="0" labelOnly="1" grandRow="1" fieldPosition="0"/>
    </format>
    <format dxfId="38">
      <pivotArea grandRow="1" collapsedLevelsAreSubtotals="1" fieldPosition="0"/>
    </format>
    <format dxfId="39">
      <pivotArea dataOnly="0" labelOnly="1" grandRow="1" fieldPosition="0"/>
    </format>
    <format dxfId="40">
      <pivotArea grandRow="1" collapsedLevelsAreSubtotals="1" fieldPosition="0"/>
    </format>
    <format dxfId="41">
      <pivotArea dataOnly="0" labelOnly="1" grandRow="1" fieldPosition="0"/>
    </format>
    <format dxfId="42">
      <pivotArea grandRow="1" collapsedLevelsAreSubtotals="1" fieldPosition="0"/>
    </format>
  </formats>
  <pivotTableStyleInfo name="PivotStylePreset5_Accent4" showRowHeaders="1" showColHeaders="1" showRowStripe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2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7" firstHeaderRow="1" firstDataRow="1" firstDataCol="1"/>
  <pivotFields count="19">
    <pivotField dataField="1" compact="0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compact="0" showAll="0"/>
    <pivotField axis="axisRow" compact="0" showAll="0">
      <items count="4">
        <item x="1"/>
        <item x="2"/>
        <item x="0"/>
        <item t="default"/>
      </items>
    </pivotField>
    <pivotField compact="0" numFmtId="181" showAll="0"/>
    <pivotField compact="0" showAll="0"/>
    <pivotField compact="0" showAll="0"/>
    <pivotField compact="0" showAll="0"/>
    <pivotField compact="0" showAll="0"/>
    <pivotField compact="0" numFmtId="182" showAll="0"/>
    <pivotField compact="0" numFmtId="182" showAll="0"/>
    <pivotField compact="0" numFmtId="182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Lead 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G9" firstHeaderRow="1" firstDataRow="2" firstDataCol="1"/>
  <pivotFields count="18">
    <pivotField dataField="1" compact="0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axis="axisRow" compact="0" showAll="0">
      <items count="5">
        <item x="0"/>
        <item x="3"/>
        <item x="1"/>
        <item x="2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numFmtId="181" showAll="0">
      <items count="32">
        <item x="2"/>
        <item x="30"/>
        <item x="25"/>
        <item x="7"/>
        <item x="13"/>
        <item x="14"/>
        <item x="28"/>
        <item x="24"/>
        <item x="17"/>
        <item x="29"/>
        <item x="1"/>
        <item x="9"/>
        <item x="27"/>
        <item x="4"/>
        <item x="11"/>
        <item x="6"/>
        <item x="16"/>
        <item x="21"/>
        <item x="23"/>
        <item x="18"/>
        <item x="0"/>
        <item x="26"/>
        <item x="12"/>
        <item x="15"/>
        <item x="22"/>
        <item x="19"/>
        <item x="5"/>
        <item x="3"/>
        <item x="10"/>
        <item x="20"/>
        <item x="8"/>
        <item t="default"/>
      </items>
    </pivotField>
    <pivotField compact="0" showAll="0">
      <items count="37">
        <item x="29"/>
        <item x="33"/>
        <item x="26"/>
        <item x="6"/>
        <item x="13"/>
        <item x="15"/>
        <item x="30"/>
        <item x="27"/>
        <item x="21"/>
        <item x="17"/>
        <item x="20"/>
        <item x="19"/>
        <item x="1"/>
        <item x="14"/>
        <item x="24"/>
        <item x="7"/>
        <item x="3"/>
        <item x="22"/>
        <item x="5"/>
        <item x="16"/>
        <item x="31"/>
        <item x="18"/>
        <item x="9"/>
        <item x="0"/>
        <item x="25"/>
        <item x="12"/>
        <item x="28"/>
        <item x="23"/>
        <item x="11"/>
        <item x="4"/>
        <item x="10"/>
        <item x="34"/>
        <item x="35"/>
        <item x="8"/>
        <item x="32"/>
        <item x="2"/>
        <item t="default"/>
      </items>
    </pivotField>
    <pivotField compact="0" showAll="0">
      <items count="41">
        <item x="35"/>
        <item x="34"/>
        <item x="32"/>
        <item x="29"/>
        <item x="36"/>
        <item x="5"/>
        <item x="37"/>
        <item x="13"/>
        <item x="30"/>
        <item x="14"/>
        <item x="21"/>
        <item x="23"/>
        <item x="17"/>
        <item x="20"/>
        <item x="25"/>
        <item x="11"/>
        <item x="1"/>
        <item x="6"/>
        <item x="3"/>
        <item x="24"/>
        <item x="16"/>
        <item x="28"/>
        <item x="27"/>
        <item x="26"/>
        <item x="18"/>
        <item x="8"/>
        <item x="0"/>
        <item x="15"/>
        <item x="31"/>
        <item x="12"/>
        <item x="10"/>
        <item x="22"/>
        <item x="4"/>
        <item x="7"/>
        <item x="9"/>
        <item x="38"/>
        <item x="33"/>
        <item x="19"/>
        <item x="39"/>
        <item x="2"/>
        <item t="default"/>
      </items>
    </pivotField>
    <pivotField compact="0" showAll="0">
      <items count="46">
        <item x="7"/>
        <item x="42"/>
        <item x="38"/>
        <item x="30"/>
        <item x="36"/>
        <item x="31"/>
        <item x="43"/>
        <item x="28"/>
        <item x="39"/>
        <item x="25"/>
        <item x="6"/>
        <item x="14"/>
        <item x="16"/>
        <item x="27"/>
        <item x="19"/>
        <item x="22"/>
        <item x="12"/>
        <item x="32"/>
        <item x="15"/>
        <item x="3"/>
        <item x="29"/>
        <item x="1"/>
        <item x="33"/>
        <item x="5"/>
        <item x="21"/>
        <item x="9"/>
        <item x="24"/>
        <item x="17"/>
        <item x="26"/>
        <item x="0"/>
        <item x="35"/>
        <item x="18"/>
        <item x="13"/>
        <item x="4"/>
        <item x="11"/>
        <item x="23"/>
        <item x="8"/>
        <item x="37"/>
        <item x="40"/>
        <item x="10"/>
        <item x="34"/>
        <item x="20"/>
        <item x="44"/>
        <item x="41"/>
        <item x="2"/>
        <item t="default"/>
      </items>
    </pivotField>
    <pivotField compact="0" showAll="0">
      <items count="4">
        <item x="0"/>
        <item m="1" x="2"/>
        <item x="1"/>
        <item t="default"/>
      </items>
    </pivotField>
    <pivotField compact="0" numFmtId="182" showAll="0">
      <items count="7">
        <item x="2"/>
        <item x="3"/>
        <item x="4"/>
        <item x="1"/>
        <item x="0"/>
        <item x="5"/>
        <item t="default"/>
      </items>
    </pivotField>
    <pivotField compact="0" numFmtId="182" showAll="0">
      <items count="7">
        <item x="2"/>
        <item x="4"/>
        <item x="5"/>
        <item x="3"/>
        <item x="0"/>
        <item x="1"/>
        <item t="default"/>
      </items>
    </pivotField>
    <pivotField compact="0" numFmtId="182" showAll="0">
      <items count="8">
        <item x="2"/>
        <item x="4"/>
        <item x="3"/>
        <item x="6"/>
        <item x="0"/>
        <item x="5"/>
        <item x="1"/>
        <item t="default"/>
      </items>
    </pivotField>
    <pivotField compact="0" showAll="0">
      <items count="3">
        <item x="0"/>
        <item x="1"/>
        <item t="default"/>
      </items>
    </pivotField>
    <pivotField axis="axisCol" compact="0" multipleItemSelectionAllowed="1" showAll="0">
      <items count="7">
        <item x="3"/>
        <item x="4"/>
        <item x="2"/>
        <item x="1"/>
        <item x="5"/>
        <item h="1" x="0"/>
        <item t="default"/>
      </items>
    </pivotField>
    <pivotField compact="0" showAll="0">
      <items count="58">
        <item x="55"/>
        <item x="35"/>
        <item x="45"/>
        <item x="28"/>
        <item x="41"/>
        <item x="36"/>
        <item x="9"/>
        <item x="37"/>
        <item x="46"/>
        <item x="29"/>
        <item x="34"/>
        <item x="38"/>
        <item x="33"/>
        <item x="15"/>
        <item x="39"/>
        <item x="22"/>
        <item x="4"/>
        <item x="18"/>
        <item x="26"/>
        <item x="32"/>
        <item x="17"/>
        <item x="5"/>
        <item x="11"/>
        <item x="3"/>
        <item x="19"/>
        <item x="25"/>
        <item x="20"/>
        <item x="42"/>
        <item x="14"/>
        <item x="10"/>
        <item x="12"/>
        <item x="24"/>
        <item x="31"/>
        <item x="1"/>
        <item x="8"/>
        <item x="30"/>
        <item x="49"/>
        <item x="23"/>
        <item x="43"/>
        <item x="0"/>
        <item x="21"/>
        <item x="6"/>
        <item x="27"/>
        <item x="44"/>
        <item x="51"/>
        <item x="13"/>
        <item x="16"/>
        <item x="52"/>
        <item x="7"/>
        <item x="40"/>
        <item x="47"/>
        <item x="53"/>
        <item x="50"/>
        <item x="48"/>
        <item x="54"/>
        <item x="56"/>
        <item x="2"/>
        <item t="default"/>
      </items>
    </pivotField>
    <pivotField compact="0" showAll="0">
      <items count="7">
        <item x="3"/>
        <item x="4"/>
        <item x="1"/>
        <item x="0"/>
        <item x="5"/>
        <item x="2"/>
        <item t="default"/>
      </items>
    </pivotField>
    <pivotField compact="0" showAll="0">
      <items count="7">
        <item x="4"/>
        <item x="5"/>
        <item x="3"/>
        <item x="0"/>
        <item x="1"/>
        <item x="2"/>
        <item t="default"/>
      </items>
    </pivotField>
    <pivotField compact="0" showAll="0">
      <items count="8">
        <item x="4"/>
        <item x="3"/>
        <item x="6"/>
        <item x="0"/>
        <item x="5"/>
        <item x="1"/>
        <item x="2"/>
        <item t="default"/>
      </items>
    </pivotField>
    <pivotField compact="0" showAll="0">
      <items count="13">
        <item x="6"/>
        <item x="10"/>
        <item x="0"/>
        <item x="9"/>
        <item x="8"/>
        <item x="7"/>
        <item x="5"/>
        <item x="11"/>
        <item x="1"/>
        <item x="3"/>
        <item x="4"/>
        <item x="2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12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Lead ID" fld="0" subtotal="count" baseField="0" baseItem="0"/>
  </dataFields>
  <pivotTableStyleInfo name="PivotStylePreset5_Accent4" showRowHeaders="1" showColHeaders="1" showRowStripe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6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E9" firstHeaderRow="1" firstDataRow="2" firstDataCol="1"/>
  <pivotFields count="19">
    <pivotField dataField="1" compact="0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axis="axisRow" compact="0" showAll="0">
      <items count="5">
        <item x="0"/>
        <item x="3"/>
        <item x="1"/>
        <item x="2"/>
        <item t="default"/>
      </items>
    </pivotField>
    <pivotField compact="0" showAll="0"/>
    <pivotField compact="0" numFmtId="181" showAll="0"/>
    <pivotField compact="0" showAll="0"/>
    <pivotField compact="0" showAll="0"/>
    <pivotField compact="0" showAll="0"/>
    <pivotField compact="0" showAll="0"/>
    <pivotField compact="0" numFmtId="182" showAll="0"/>
    <pivotField compact="0" numFmtId="182" showAll="0"/>
    <pivotField compact="0" numFmtId="182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Col" compact="0" showAll="0">
      <items count="4">
        <item x="0"/>
        <item x="1"/>
        <item x="2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18"/>
  </colFields>
  <colItems count="4">
    <i>
      <x/>
    </i>
    <i>
      <x v="1"/>
    </i>
    <i>
      <x v="2"/>
    </i>
    <i t="grand">
      <x/>
    </i>
  </colItems>
  <dataFields count="1">
    <dataField name="Count of Lead ID" fld="0" subtotal="count" baseField="0" baseItem="0"/>
  </dataFields>
  <formats count="17">
    <format dxfId="43">
      <pivotArea type="all" dataOnly="0" outline="0" fieldPosition="0"/>
    </format>
    <format dxfId="44">
      <pivotArea type="all" dataOnly="0" outline="0" fieldPosition="0"/>
    </format>
    <format dxfId="45">
      <pivotArea type="all" dataOnly="0" outline="0" fieldPosition="0"/>
    </format>
    <format dxfId="46">
      <pivotArea type="all" dataOnly="0" outline="0" fieldPosition="0"/>
    </format>
    <format dxfId="47">
      <pivotArea type="all" dataOnly="0" outline="0" fieldPosition="0"/>
    </format>
    <format dxfId="48">
      <pivotArea dataOnly="0" labelOnly="1" fieldPosition="0">
        <references count="1">
          <reference field="1" count="1">
            <x v="0"/>
          </reference>
        </references>
      </pivotArea>
    </format>
    <format dxfId="49">
      <pivotArea dataOnly="0" labelOnly="1" fieldPosition="0">
        <references count="1">
          <reference field="1" count="1">
            <x v="1"/>
          </reference>
        </references>
      </pivotArea>
    </format>
    <format dxfId="50">
      <pivotArea dataOnly="0" labelOnly="1" fieldPosition="0">
        <references count="1">
          <reference field="1" count="1">
            <x v="2"/>
          </reference>
        </references>
      </pivotArea>
    </format>
    <format dxfId="51">
      <pivotArea dataOnly="0" labelOnly="1" fieldPosition="0">
        <references count="1">
          <reference field="1" count="1">
            <x v="3"/>
          </reference>
        </references>
      </pivotArea>
    </format>
    <format dxfId="52">
      <pivotArea dataOnly="0" labelOnly="1" grandRow="1" fieldPosition="0"/>
    </format>
    <format dxfId="53">
      <pivotArea field="1" type="button" dataOnly="0" labelOnly="1" outline="0" fieldPosition="0"/>
    </format>
    <format dxfId="54">
      <pivotArea dataOnly="0" labelOnly="1" fieldPosition="0">
        <references count="1">
          <reference field="18" count="1">
            <x v="0"/>
          </reference>
        </references>
      </pivotArea>
    </format>
    <format dxfId="55">
      <pivotArea dataOnly="0" labelOnly="1" fieldPosition="0">
        <references count="1">
          <reference field="18" count="1">
            <x v="1"/>
          </reference>
        </references>
      </pivotArea>
    </format>
    <format dxfId="56">
      <pivotArea dataOnly="0" labelOnly="1" fieldPosition="0">
        <references count="1">
          <reference field="18" count="1">
            <x v="2"/>
          </reference>
        </references>
      </pivotArea>
    </format>
    <format dxfId="57">
      <pivotArea dataOnly="0" labelOnly="1" grandCol="1" fieldPosition="0"/>
    </format>
    <format dxfId="58">
      <pivotArea type="origin" dataOnly="0" labelOnly="1" outline="0" fieldPosition="0"/>
    </format>
    <format dxfId="59">
      <pivotArea field="18" type="button" dataOnly="0" labelOnly="1" outline="0" fieldPosition="0"/>
    </format>
  </formats>
  <pivotTableStyleInfo name="PivotStylePreset5_Accent4" showRowHeaders="1" showColHeaders="1" showRowStripe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1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F16" firstHeaderRow="1" firstDataRow="2" firstDataCol="1"/>
  <pivotFields count="19">
    <pivotField dataField="1" compact="0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axis="axisCol" compact="0" showAll="0">
      <items count="5">
        <item x="0"/>
        <item x="3"/>
        <item x="1"/>
        <item x="2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numFmtId="181" showAll="0">
      <items count="32">
        <item x="2"/>
        <item x="30"/>
        <item x="25"/>
        <item x="7"/>
        <item x="13"/>
        <item x="14"/>
        <item x="28"/>
        <item x="24"/>
        <item x="17"/>
        <item x="29"/>
        <item x="1"/>
        <item x="9"/>
        <item x="27"/>
        <item x="4"/>
        <item x="11"/>
        <item x="6"/>
        <item x="16"/>
        <item x="21"/>
        <item x="23"/>
        <item x="18"/>
        <item x="0"/>
        <item x="26"/>
        <item x="12"/>
        <item x="15"/>
        <item x="22"/>
        <item x="19"/>
        <item x="5"/>
        <item x="3"/>
        <item x="10"/>
        <item x="20"/>
        <item x="8"/>
        <item t="default"/>
      </items>
    </pivotField>
    <pivotField compact="0" showAll="0">
      <items count="37">
        <item x="29"/>
        <item x="33"/>
        <item x="26"/>
        <item x="6"/>
        <item x="13"/>
        <item x="15"/>
        <item x="30"/>
        <item x="27"/>
        <item x="21"/>
        <item x="17"/>
        <item x="20"/>
        <item x="19"/>
        <item x="1"/>
        <item x="14"/>
        <item x="24"/>
        <item x="7"/>
        <item x="3"/>
        <item x="22"/>
        <item x="5"/>
        <item x="16"/>
        <item x="31"/>
        <item x="18"/>
        <item x="9"/>
        <item x="0"/>
        <item x="25"/>
        <item x="12"/>
        <item x="28"/>
        <item x="23"/>
        <item x="11"/>
        <item x="4"/>
        <item x="10"/>
        <item x="34"/>
        <item x="35"/>
        <item x="8"/>
        <item x="32"/>
        <item x="2"/>
        <item t="default"/>
      </items>
    </pivotField>
    <pivotField compact="0" showAll="0">
      <items count="41">
        <item x="35"/>
        <item x="34"/>
        <item x="32"/>
        <item x="29"/>
        <item x="36"/>
        <item x="5"/>
        <item x="37"/>
        <item x="13"/>
        <item x="30"/>
        <item x="14"/>
        <item x="21"/>
        <item x="23"/>
        <item x="17"/>
        <item x="20"/>
        <item x="25"/>
        <item x="11"/>
        <item x="1"/>
        <item x="6"/>
        <item x="3"/>
        <item x="24"/>
        <item x="16"/>
        <item x="28"/>
        <item x="27"/>
        <item x="26"/>
        <item x="18"/>
        <item x="8"/>
        <item x="0"/>
        <item x="15"/>
        <item x="31"/>
        <item x="12"/>
        <item x="10"/>
        <item x="22"/>
        <item x="4"/>
        <item x="7"/>
        <item x="9"/>
        <item x="38"/>
        <item x="33"/>
        <item x="19"/>
        <item x="39"/>
        <item x="2"/>
        <item t="default"/>
      </items>
    </pivotField>
    <pivotField compact="0" showAll="0">
      <items count="46">
        <item x="7"/>
        <item x="42"/>
        <item x="38"/>
        <item x="30"/>
        <item x="36"/>
        <item x="31"/>
        <item x="43"/>
        <item x="28"/>
        <item x="39"/>
        <item x="25"/>
        <item x="6"/>
        <item x="14"/>
        <item x="16"/>
        <item x="27"/>
        <item x="19"/>
        <item x="22"/>
        <item x="12"/>
        <item x="32"/>
        <item x="15"/>
        <item x="3"/>
        <item x="29"/>
        <item x="1"/>
        <item x="33"/>
        <item x="5"/>
        <item x="21"/>
        <item x="9"/>
        <item x="24"/>
        <item x="17"/>
        <item x="26"/>
        <item x="0"/>
        <item x="35"/>
        <item x="18"/>
        <item x="13"/>
        <item x="4"/>
        <item x="11"/>
        <item x="23"/>
        <item x="8"/>
        <item x="37"/>
        <item x="40"/>
        <item x="10"/>
        <item x="34"/>
        <item x="20"/>
        <item x="44"/>
        <item x="41"/>
        <item x="2"/>
        <item t="default"/>
      </items>
    </pivotField>
    <pivotField compact="0" showAll="0">
      <items count="3">
        <item x="0"/>
        <item x="1"/>
        <item t="default"/>
      </items>
    </pivotField>
    <pivotField compact="0" numFmtId="182" showAll="0">
      <items count="7">
        <item x="2"/>
        <item x="3"/>
        <item x="4"/>
        <item x="1"/>
        <item x="0"/>
        <item x="5"/>
        <item t="default"/>
      </items>
    </pivotField>
    <pivotField compact="0" numFmtId="182" showAll="0">
      <items count="7">
        <item x="2"/>
        <item x="4"/>
        <item x="5"/>
        <item x="3"/>
        <item x="0"/>
        <item x="1"/>
        <item t="default"/>
      </items>
    </pivotField>
    <pivotField compact="0" numFmtId="182" showAll="0">
      <items count="8">
        <item x="2"/>
        <item x="4"/>
        <item x="3"/>
        <item x="6"/>
        <item x="0"/>
        <item x="5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7">
        <item x="3"/>
        <item x="4"/>
        <item x="2"/>
        <item x="1"/>
        <item x="5"/>
        <item x="0"/>
        <item t="default"/>
      </items>
    </pivotField>
    <pivotField compact="0" showAll="0">
      <items count="58">
        <item x="55"/>
        <item x="35"/>
        <item x="45"/>
        <item x="28"/>
        <item x="41"/>
        <item x="36"/>
        <item x="9"/>
        <item x="37"/>
        <item x="46"/>
        <item x="29"/>
        <item x="34"/>
        <item x="38"/>
        <item x="33"/>
        <item x="15"/>
        <item x="39"/>
        <item x="22"/>
        <item x="4"/>
        <item x="18"/>
        <item x="26"/>
        <item x="32"/>
        <item x="17"/>
        <item x="5"/>
        <item x="11"/>
        <item x="3"/>
        <item x="19"/>
        <item x="25"/>
        <item x="20"/>
        <item x="42"/>
        <item x="14"/>
        <item x="10"/>
        <item x="12"/>
        <item x="24"/>
        <item x="31"/>
        <item x="1"/>
        <item x="8"/>
        <item x="30"/>
        <item x="49"/>
        <item x="23"/>
        <item x="43"/>
        <item x="0"/>
        <item x="21"/>
        <item x="6"/>
        <item x="27"/>
        <item x="44"/>
        <item x="51"/>
        <item x="13"/>
        <item x="16"/>
        <item x="52"/>
        <item x="7"/>
        <item x="40"/>
        <item x="47"/>
        <item x="53"/>
        <item x="50"/>
        <item x="48"/>
        <item x="54"/>
        <item x="56"/>
        <item x="2"/>
        <item t="default"/>
      </items>
    </pivotField>
    <pivotField compact="0" showAll="0">
      <items count="7">
        <item x="3"/>
        <item x="4"/>
        <item x="1"/>
        <item x="0"/>
        <item x="5"/>
        <item x="2"/>
        <item t="default"/>
      </items>
    </pivotField>
    <pivotField compact="0" showAll="0">
      <items count="7">
        <item x="4"/>
        <item x="5"/>
        <item x="3"/>
        <item x="0"/>
        <item x="1"/>
        <item x="2"/>
        <item t="default"/>
      </items>
    </pivotField>
    <pivotField compact="0" showAll="0">
      <items count="8">
        <item x="4"/>
        <item x="3"/>
        <item x="6"/>
        <item x="0"/>
        <item x="5"/>
        <item x="1"/>
        <item x="2"/>
        <item t="default"/>
      </items>
    </pivotField>
    <pivotField axis="axisRow" compact="0" multipleItemSelectionAllowed="1" showAll="0">
      <items count="13">
        <item x="6"/>
        <item x="10"/>
        <item x="0"/>
        <item x="9"/>
        <item x="8"/>
        <item x="7"/>
        <item x="5"/>
        <item x="11"/>
        <item x="1"/>
        <item x="3"/>
        <item x="4"/>
        <item h="1" x="2"/>
        <item t="default"/>
      </items>
    </pivotField>
    <pivotField compact="0" showAll="0">
      <items count="4">
        <item x="0"/>
        <item x="1"/>
        <item x="2"/>
        <item t="default"/>
      </items>
    </pivotField>
  </pivotFields>
  <rowFields count="1">
    <field x="17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Count of Lead ID" fld="0" subtotal="count" baseField="0" baseItem="0"/>
  </dataFields>
  <formats count="45">
    <format dxfId="60">
      <pivotArea type="origin" dataOnly="0" labelOnly="1" outline="0" fieldPosition="0"/>
    </format>
    <format dxfId="61">
      <pivotArea field="17" type="button" dataOnly="0" labelOnly="1" outline="0" fieldPosition="0"/>
    </format>
    <format dxfId="62">
      <pivotArea dataOnly="0" labelOnly="1" fieldPosition="0">
        <references count="1">
          <reference field="17" count="1">
            <x v="0"/>
          </reference>
        </references>
      </pivotArea>
    </format>
    <format dxfId="63">
      <pivotArea dataOnly="0" labelOnly="1" fieldPosition="0">
        <references count="1">
          <reference field="17" count="1">
            <x v="1"/>
          </reference>
        </references>
      </pivotArea>
    </format>
    <format dxfId="64">
      <pivotArea dataOnly="0" labelOnly="1" fieldPosition="0">
        <references count="1">
          <reference field="17" count="1">
            <x v="2"/>
          </reference>
        </references>
      </pivotArea>
    </format>
    <format dxfId="65">
      <pivotArea dataOnly="0" labelOnly="1" fieldPosition="0">
        <references count="1">
          <reference field="17" count="1">
            <x v="3"/>
          </reference>
        </references>
      </pivotArea>
    </format>
    <format dxfId="66">
      <pivotArea dataOnly="0" labelOnly="1" fieldPosition="0">
        <references count="1">
          <reference field="17" count="1">
            <x v="4"/>
          </reference>
        </references>
      </pivotArea>
    </format>
    <format dxfId="67">
      <pivotArea dataOnly="0" labelOnly="1" fieldPosition="0">
        <references count="1">
          <reference field="17" count="1">
            <x v="5"/>
          </reference>
        </references>
      </pivotArea>
    </format>
    <format dxfId="68">
      <pivotArea dataOnly="0" labelOnly="1" fieldPosition="0">
        <references count="1">
          <reference field="17" count="1">
            <x v="6"/>
          </reference>
        </references>
      </pivotArea>
    </format>
    <format dxfId="69">
      <pivotArea dataOnly="0" labelOnly="1" fieldPosition="0">
        <references count="1">
          <reference field="17" count="1">
            <x v="7"/>
          </reference>
        </references>
      </pivotArea>
    </format>
    <format dxfId="70">
      <pivotArea dataOnly="0" labelOnly="1" fieldPosition="0">
        <references count="1">
          <reference field="17" count="1">
            <x v="8"/>
          </reference>
        </references>
      </pivotArea>
    </format>
    <format dxfId="71">
      <pivotArea dataOnly="0" labelOnly="1" fieldPosition="0">
        <references count="1">
          <reference field="17" count="1">
            <x v="9"/>
          </reference>
        </references>
      </pivotArea>
    </format>
    <format dxfId="72">
      <pivotArea dataOnly="0" labelOnly="1" fieldPosition="0">
        <references count="1">
          <reference field="17" count="1">
            <x v="10"/>
          </reference>
        </references>
      </pivotArea>
    </format>
    <format dxfId="73">
      <pivotArea dataOnly="0" labelOnly="1" fieldPosition="0">
        <references count="1">
          <reference field="17" count="1">
            <x v="11"/>
          </reference>
        </references>
      </pivotArea>
    </format>
    <format dxfId="74">
      <pivotArea dataOnly="0" labelOnly="1" grandRow="1" fieldPosition="0"/>
    </format>
    <format dxfId="75">
      <pivotArea type="origin" dataOnly="0" labelOnly="1" outline="0" fieldPosition="0"/>
    </format>
    <format dxfId="76">
      <pivotArea field="17" type="button" dataOnly="0" labelOnly="1" outline="0" fieldPosition="0"/>
    </format>
    <format dxfId="77">
      <pivotArea dataOnly="0" labelOnly="1" fieldPosition="0">
        <references count="1">
          <reference field="17" count="1">
            <x v="0"/>
          </reference>
        </references>
      </pivotArea>
    </format>
    <format dxfId="78">
      <pivotArea dataOnly="0" labelOnly="1" fieldPosition="0">
        <references count="1">
          <reference field="17" count="1">
            <x v="1"/>
          </reference>
        </references>
      </pivotArea>
    </format>
    <format dxfId="79">
      <pivotArea dataOnly="0" labelOnly="1" fieldPosition="0">
        <references count="1">
          <reference field="17" count="1">
            <x v="2"/>
          </reference>
        </references>
      </pivotArea>
    </format>
    <format dxfId="80">
      <pivotArea dataOnly="0" labelOnly="1" fieldPosition="0">
        <references count="1">
          <reference field="17" count="1">
            <x v="3"/>
          </reference>
        </references>
      </pivotArea>
    </format>
    <format dxfId="81">
      <pivotArea dataOnly="0" labelOnly="1" fieldPosition="0">
        <references count="1">
          <reference field="17" count="1">
            <x v="4"/>
          </reference>
        </references>
      </pivotArea>
    </format>
    <format dxfId="82">
      <pivotArea dataOnly="0" labelOnly="1" fieldPosition="0">
        <references count="1">
          <reference field="17" count="1">
            <x v="5"/>
          </reference>
        </references>
      </pivotArea>
    </format>
    <format dxfId="83">
      <pivotArea dataOnly="0" labelOnly="1" fieldPosition="0">
        <references count="1">
          <reference field="17" count="1">
            <x v="6"/>
          </reference>
        </references>
      </pivotArea>
    </format>
    <format dxfId="84">
      <pivotArea dataOnly="0" labelOnly="1" fieldPosition="0">
        <references count="1">
          <reference field="17" count="1">
            <x v="7"/>
          </reference>
        </references>
      </pivotArea>
    </format>
    <format dxfId="85">
      <pivotArea dataOnly="0" labelOnly="1" fieldPosition="0">
        <references count="1">
          <reference field="17" count="1">
            <x v="8"/>
          </reference>
        </references>
      </pivotArea>
    </format>
    <format dxfId="86">
      <pivotArea dataOnly="0" labelOnly="1" fieldPosition="0">
        <references count="1">
          <reference field="17" count="1">
            <x v="9"/>
          </reference>
        </references>
      </pivotArea>
    </format>
    <format dxfId="87">
      <pivotArea dataOnly="0" labelOnly="1" fieldPosition="0">
        <references count="1">
          <reference field="17" count="1">
            <x v="10"/>
          </reference>
        </references>
      </pivotArea>
    </format>
    <format dxfId="88">
      <pivotArea dataOnly="0" labelOnly="1" fieldPosition="0">
        <references count="1">
          <reference field="17" count="1">
            <x v="11"/>
          </reference>
        </references>
      </pivotArea>
    </format>
    <format dxfId="89">
      <pivotArea dataOnly="0" labelOnly="1" grandRow="1" fieldPosition="0"/>
    </format>
    <format dxfId="90">
      <pivotArea type="origin" dataOnly="0" labelOnly="1" outline="0" fieldPosition="0"/>
    </format>
    <format dxfId="91">
      <pivotArea field="17" type="button" dataOnly="0" labelOnly="1" outline="0" fieldPosition="0"/>
    </format>
    <format dxfId="92">
      <pivotArea dataOnly="0" labelOnly="1" fieldPosition="0">
        <references count="1">
          <reference field="17" count="1">
            <x v="0"/>
          </reference>
        </references>
      </pivotArea>
    </format>
    <format dxfId="93">
      <pivotArea dataOnly="0" labelOnly="1" fieldPosition="0">
        <references count="1">
          <reference field="17" count="1">
            <x v="1"/>
          </reference>
        </references>
      </pivotArea>
    </format>
    <format dxfId="94">
      <pivotArea dataOnly="0" labelOnly="1" fieldPosition="0">
        <references count="1">
          <reference field="17" count="1">
            <x v="2"/>
          </reference>
        </references>
      </pivotArea>
    </format>
    <format dxfId="95">
      <pivotArea dataOnly="0" labelOnly="1" fieldPosition="0">
        <references count="1">
          <reference field="17" count="1">
            <x v="3"/>
          </reference>
        </references>
      </pivotArea>
    </format>
    <format dxfId="96">
      <pivotArea dataOnly="0" labelOnly="1" fieldPosition="0">
        <references count="1">
          <reference field="17" count="1">
            <x v="4"/>
          </reference>
        </references>
      </pivotArea>
    </format>
    <format dxfId="97">
      <pivotArea dataOnly="0" labelOnly="1" fieldPosition="0">
        <references count="1">
          <reference field="17" count="1">
            <x v="5"/>
          </reference>
        </references>
      </pivotArea>
    </format>
    <format dxfId="98">
      <pivotArea dataOnly="0" labelOnly="1" fieldPosition="0">
        <references count="1">
          <reference field="17" count="1">
            <x v="6"/>
          </reference>
        </references>
      </pivotArea>
    </format>
    <format dxfId="99">
      <pivotArea dataOnly="0" labelOnly="1" fieldPosition="0">
        <references count="1">
          <reference field="17" count="1">
            <x v="7"/>
          </reference>
        </references>
      </pivotArea>
    </format>
    <format dxfId="100">
      <pivotArea dataOnly="0" labelOnly="1" fieldPosition="0">
        <references count="1">
          <reference field="17" count="1">
            <x v="8"/>
          </reference>
        </references>
      </pivotArea>
    </format>
    <format dxfId="101">
      <pivotArea dataOnly="0" labelOnly="1" fieldPosition="0">
        <references count="1">
          <reference field="17" count="1">
            <x v="9"/>
          </reference>
        </references>
      </pivotArea>
    </format>
    <format dxfId="102">
      <pivotArea dataOnly="0" labelOnly="1" fieldPosition="0">
        <references count="1">
          <reference field="17" count="1">
            <x v="10"/>
          </reference>
        </references>
      </pivotArea>
    </format>
    <format dxfId="103">
      <pivotArea dataOnly="0" labelOnly="1" fieldPosition="0">
        <references count="1">
          <reference field="17" count="1">
            <x v="11"/>
          </reference>
        </references>
      </pivotArea>
    </format>
    <format dxfId="104">
      <pivotArea dataOnly="0" labelOnly="1" grandRow="1" fieldPosition="0"/>
    </format>
  </formats>
  <pivotTableStyleInfo name="PivotStylePreset6_Accent4" showRowHeaders="1" showColHeaders="1" showRowStripe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Store_Name" sourceName="Store Name">
  <pivotTables>
    <pivotTable tabId="4" name="PivotTable2"/>
    <pivotTable tabId="5" name="PivotTable3"/>
    <pivotTable tabId="6" name="PivotTable4"/>
    <pivotTable tabId="7" name="PivotTable5"/>
  </pivotTables>
  <data>
    <tabular pivotCacheId="1">
      <items count="4">
        <i x="0" s="1"/>
        <i x="3" s="1"/>
        <i x="1" s="1"/>
        <i x="2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Lead_Type" sourceName="Lead Type">
  <pivotTables>
    <pivotTable tabId="4" name="PivotTable2"/>
    <pivotTable tabId="5" name="PivotTable3"/>
    <pivotTable tabId="6" name="PivotTable4"/>
    <pivotTable tabId="7" name="PivotTable5"/>
  </pivotTables>
  <data>
    <tabular pivotCacheId="1">
      <items count="3">
        <i x="1" s="1"/>
        <i x="2" s="1"/>
        <i x="0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Lead_Status" sourceName="Lead Status">
  <pivotTables>
    <pivotTable tabId="4" name="PivotTable2"/>
    <pivotTable tabId="5" name="PivotTable3"/>
    <pivotTable tabId="6" name="PivotTable4"/>
    <pivotTable tabId="7" name="PivotTable5"/>
  </pivotTables>
  <data>
    <tabular pivotCacheId="1">
      <items count="3">
        <i x="1" s="1"/>
        <i x="0" s="1"/>
        <i x="2" s="1" nd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Store Name" cache="Slicer_Store_Name" caption="Store Name" style="SlicerStyleDark6" rowHeight="225425"/>
  <slicer name="Lead Type" cache="Slicer_Lead_Type" caption="Lead Type" style="SlicerStyleDark1" rowHeight="225425"/>
  <slicer name="Lead Status" cache="Slicer_Lead_Status" caption="Lead Status" style="SlicerStyleDark4" rowHeight="225425"/>
</slicer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G10"/>
  <sheetViews>
    <sheetView zoomScale="80" zoomScaleNormal="80" workbookViewId="0">
      <selection activeCell="K19" sqref="K19"/>
    </sheetView>
  </sheetViews>
  <sheetFormatPr defaultColWidth="8.72727272727273" defaultRowHeight="14.5" outlineLevelCol="6"/>
  <cols>
    <col min="1" max="1" width="16.1818181818182"/>
    <col min="2" max="3" width="20.1818181818182"/>
    <col min="4" max="4" width="14.6363636363636"/>
    <col min="5" max="5" width="11.4090909090909"/>
    <col min="6" max="6" width="14.7272727272727"/>
    <col min="7" max="7" width="11.5454545454545"/>
  </cols>
  <sheetData>
    <row r="3" spans="1:3">
      <c r="A3" t="s">
        <v>0</v>
      </c>
      <c r="B3" s="61" t="s">
        <v>1</v>
      </c>
      <c r="C3" s="61" t="s">
        <v>2</v>
      </c>
    </row>
    <row r="4" spans="2:7">
      <c r="B4" t="s">
        <v>3</v>
      </c>
      <c r="D4" s="61" t="s">
        <v>4</v>
      </c>
      <c r="E4" t="s">
        <v>5</v>
      </c>
      <c r="F4" s="61" t="s">
        <v>6</v>
      </c>
      <c r="G4" s="61" t="s">
        <v>7</v>
      </c>
    </row>
    <row r="5" spans="1:7">
      <c r="A5" t="s">
        <v>8</v>
      </c>
      <c r="B5" s="61" t="s">
        <v>9</v>
      </c>
      <c r="C5" s="61" t="s">
        <v>10</v>
      </c>
      <c r="D5" s="61"/>
      <c r="E5" t="s">
        <v>10</v>
      </c>
      <c r="F5" s="61"/>
      <c r="G5" s="61"/>
    </row>
    <row r="6" spans="1:7">
      <c r="A6" t="s">
        <v>11</v>
      </c>
      <c r="B6" s="62">
        <v>0.726235741444867</v>
      </c>
      <c r="C6" s="62">
        <v>0.0798479087452472</v>
      </c>
      <c r="D6" s="62">
        <v>0.806083650190114</v>
      </c>
      <c r="E6" s="62">
        <v>0.193916349809886</v>
      </c>
      <c r="F6" s="62">
        <v>0.193916349809886</v>
      </c>
      <c r="G6" s="62">
        <v>1</v>
      </c>
    </row>
    <row r="7" spans="1:7">
      <c r="A7" t="s">
        <v>12</v>
      </c>
      <c r="B7" s="62">
        <v>0.721698113207547</v>
      </c>
      <c r="C7" s="62">
        <v>0.0943396226415094</v>
      </c>
      <c r="D7" s="62">
        <v>0.816037735849057</v>
      </c>
      <c r="E7" s="62">
        <v>0.183962264150943</v>
      </c>
      <c r="F7" s="62">
        <v>0.183962264150943</v>
      </c>
      <c r="G7" s="62">
        <v>1</v>
      </c>
    </row>
    <row r="8" spans="1:7">
      <c r="A8" t="s">
        <v>13</v>
      </c>
      <c r="B8" s="62">
        <v>0.707224334600761</v>
      </c>
      <c r="C8" s="62">
        <v>0.0988593155893536</v>
      </c>
      <c r="D8" s="62">
        <v>0.806083650190114</v>
      </c>
      <c r="E8" s="62">
        <v>0.193916349809886</v>
      </c>
      <c r="F8" s="62">
        <v>0.193916349809886</v>
      </c>
      <c r="G8" s="62">
        <v>1</v>
      </c>
    </row>
    <row r="9" spans="1:7">
      <c r="A9" t="s">
        <v>14</v>
      </c>
      <c r="B9" s="62">
        <v>0.759541984732824</v>
      </c>
      <c r="C9" s="62">
        <v>0.0610687022900763</v>
      </c>
      <c r="D9" s="62">
        <v>0.820610687022901</v>
      </c>
      <c r="E9" s="62">
        <v>0.179389312977099</v>
      </c>
      <c r="F9" s="62">
        <v>0.179389312977099</v>
      </c>
      <c r="G9" s="62">
        <v>1</v>
      </c>
    </row>
    <row r="10" spans="1:7">
      <c r="A10" t="s">
        <v>7</v>
      </c>
      <c r="B10" s="62">
        <v>0.729</v>
      </c>
      <c r="C10" s="62">
        <v>0.083</v>
      </c>
      <c r="D10" s="62">
        <v>0.812</v>
      </c>
      <c r="E10" s="62">
        <v>0.188</v>
      </c>
      <c r="F10" s="62">
        <v>0.188</v>
      </c>
      <c r="G10" s="62">
        <v>1</v>
      </c>
    </row>
  </sheetData>
  <conditionalFormatting sqref="B6:G1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H10"/>
  <sheetViews>
    <sheetView workbookViewId="0">
      <selection activeCell="D12" sqref="D12"/>
    </sheetView>
  </sheetViews>
  <sheetFormatPr defaultColWidth="8.72727272727273" defaultRowHeight="14.5" outlineLevelCol="7"/>
  <cols>
    <col min="1" max="1" width="14.8181818181818"/>
    <col min="2" max="4" width="28.4545454545455" style="59"/>
  </cols>
  <sheetData>
    <row r="3" spans="1:4">
      <c r="A3" t="s">
        <v>8</v>
      </c>
      <c r="B3" s="60" t="s">
        <v>15</v>
      </c>
      <c r="C3" s="60" t="s">
        <v>16</v>
      </c>
      <c r="D3" s="60" t="s">
        <v>17</v>
      </c>
    </row>
    <row r="4" spans="1:8">
      <c r="A4" t="s">
        <v>11</v>
      </c>
      <c r="B4" s="59">
        <v>2.51330798479087</v>
      </c>
      <c r="C4" s="60">
        <v>2.44486692015209</v>
      </c>
      <c r="D4" s="60">
        <v>3.63878326996198</v>
      </c>
      <c r="E4" s="61"/>
      <c r="F4" s="61"/>
      <c r="G4" s="61"/>
      <c r="H4" s="61"/>
    </row>
    <row r="5" spans="1:8">
      <c r="A5" t="s">
        <v>12</v>
      </c>
      <c r="B5" s="60">
        <v>2.54716981132075</v>
      </c>
      <c r="C5" s="60">
        <v>2.61320754716981</v>
      </c>
      <c r="D5" s="60">
        <v>3.58018867924528</v>
      </c>
      <c r="E5" s="61"/>
      <c r="F5" s="61"/>
      <c r="G5" s="61"/>
      <c r="H5" s="61"/>
    </row>
    <row r="6" spans="1:8">
      <c r="A6" t="s">
        <v>13</v>
      </c>
      <c r="B6" s="60">
        <v>2.44106463878327</v>
      </c>
      <c r="C6" s="60">
        <v>2.43346007604563</v>
      </c>
      <c r="D6" s="60">
        <v>3.45247148288973</v>
      </c>
      <c r="E6" s="62"/>
      <c r="F6" s="62"/>
      <c r="G6" s="62"/>
      <c r="H6" s="62"/>
    </row>
    <row r="7" spans="1:8">
      <c r="A7" t="s">
        <v>14</v>
      </c>
      <c r="B7" s="60">
        <v>2.44274809160305</v>
      </c>
      <c r="C7" s="60">
        <v>2.5</v>
      </c>
      <c r="D7" s="60">
        <v>3.79770992366412</v>
      </c>
      <c r="E7" s="62"/>
      <c r="F7" s="62"/>
      <c r="G7" s="62"/>
      <c r="H7" s="62"/>
    </row>
    <row r="8" spans="1:8">
      <c r="A8" t="s">
        <v>7</v>
      </c>
      <c r="B8" s="60">
        <v>2.483</v>
      </c>
      <c r="C8" s="60">
        <v>2.492</v>
      </c>
      <c r="D8" s="60">
        <v>3.619</v>
      </c>
      <c r="E8" s="62"/>
      <c r="F8" s="62"/>
      <c r="G8" s="62"/>
      <c r="H8" s="62"/>
    </row>
    <row r="9" spans="5:8">
      <c r="E9" s="62"/>
      <c r="F9" s="62"/>
      <c r="G9" s="62"/>
      <c r="H9" s="62"/>
    </row>
    <row r="10" spans="5:8">
      <c r="E10" s="62"/>
      <c r="F10" s="62"/>
      <c r="G10" s="62"/>
      <c r="H10" s="62"/>
    </row>
  </sheetData>
  <conditionalFormatting sqref="B4:D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15"/>
  <sheetViews>
    <sheetView workbookViewId="0">
      <selection activeCell="C12" sqref="C12"/>
    </sheetView>
  </sheetViews>
  <sheetFormatPr defaultColWidth="8.72727272727273" defaultRowHeight="14.5" outlineLevelCol="4"/>
  <cols>
    <col min="1" max="1" width="16.1818181818182"/>
    <col min="2" max="4" width="11.9090909090909"/>
    <col min="5" max="5" width="11.5454545454545"/>
    <col min="10" max="10" width="10.1818181818182" customWidth="1"/>
    <col min="11" max="11" width="15.2727272727273" customWidth="1"/>
  </cols>
  <sheetData>
    <row r="2" ht="15.5" spans="1:5">
      <c r="A2" s="35" t="s">
        <v>18</v>
      </c>
      <c r="B2" s="35"/>
      <c r="C2" s="35"/>
      <c r="D2" s="35"/>
      <c r="E2" s="35"/>
    </row>
    <row r="3" spans="1:2">
      <c r="A3" t="s">
        <v>0</v>
      </c>
      <c r="B3" t="s">
        <v>19</v>
      </c>
    </row>
    <row r="4" spans="1:5">
      <c r="A4" t="s">
        <v>8</v>
      </c>
      <c r="B4" t="s">
        <v>20</v>
      </c>
      <c r="C4" t="s">
        <v>21</v>
      </c>
      <c r="D4" t="s">
        <v>22</v>
      </c>
      <c r="E4" t="s">
        <v>7</v>
      </c>
    </row>
    <row r="5" spans="1:5">
      <c r="A5" t="s">
        <v>11</v>
      </c>
      <c r="B5" s="53">
        <v>0.193916349809886</v>
      </c>
      <c r="C5" s="53">
        <v>0.304182509505703</v>
      </c>
      <c r="D5" s="53">
        <v>0.501901140684411</v>
      </c>
      <c r="E5" s="53">
        <v>1</v>
      </c>
    </row>
    <row r="6" spans="1:5">
      <c r="A6" t="s">
        <v>12</v>
      </c>
      <c r="B6" s="53">
        <v>0.183962264150943</v>
      </c>
      <c r="C6" s="53">
        <v>0.330188679245283</v>
      </c>
      <c r="D6" s="53">
        <v>0.485849056603774</v>
      </c>
      <c r="E6" s="53">
        <v>1</v>
      </c>
    </row>
    <row r="7" spans="1:5">
      <c r="A7" t="s">
        <v>13</v>
      </c>
      <c r="B7" s="53">
        <v>0.193916349809886</v>
      </c>
      <c r="C7" s="53">
        <v>0.266159695817491</v>
      </c>
      <c r="D7" s="53">
        <v>0.539923954372624</v>
      </c>
      <c r="E7" s="53">
        <v>1</v>
      </c>
    </row>
    <row r="8" spans="1:5">
      <c r="A8" t="s">
        <v>14</v>
      </c>
      <c r="B8" s="53">
        <v>0.179389312977099</v>
      </c>
      <c r="C8" s="53">
        <v>0.316793893129771</v>
      </c>
      <c r="D8" s="53">
        <v>0.50381679389313</v>
      </c>
      <c r="E8" s="53">
        <v>1</v>
      </c>
    </row>
    <row r="9" spans="1:5">
      <c r="A9" s="54" t="s">
        <v>7</v>
      </c>
      <c r="B9" s="53">
        <v>0.188</v>
      </c>
      <c r="C9" s="53">
        <v>0.303</v>
      </c>
      <c r="D9" s="53">
        <v>0.509</v>
      </c>
      <c r="E9" s="53">
        <v>1</v>
      </c>
    </row>
    <row r="12" spans="1:2">
      <c r="A12" s="9" t="s">
        <v>19</v>
      </c>
      <c r="B12" s="55" t="s">
        <v>23</v>
      </c>
    </row>
    <row r="13" spans="1:2">
      <c r="A13" s="12" t="s">
        <v>21</v>
      </c>
      <c r="B13" s="56">
        <f>COUNTIF('Main data'!C:C,"Hot")</f>
        <v>303</v>
      </c>
    </row>
    <row r="14" spans="1:2">
      <c r="A14" s="12" t="s">
        <v>22</v>
      </c>
      <c r="B14" s="57">
        <f>COUNTIF('Main data'!C:C,"Warm")</f>
        <v>509</v>
      </c>
    </row>
    <row r="15" spans="1:2">
      <c r="A15" s="17" t="s">
        <v>20</v>
      </c>
      <c r="B15" s="58">
        <f>COUNTIF('Main data'!C:C,"Cold")</f>
        <v>188</v>
      </c>
    </row>
  </sheetData>
  <mergeCells count="1">
    <mergeCell ref="A2:E2"/>
  </mergeCells>
  <conditionalFormatting sqref="B5:E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2:B1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7"/>
  <sheetViews>
    <sheetView workbookViewId="0">
      <selection activeCell="A3" sqref="A3:B7"/>
      <pivotSelection pane="bottomRight" showHeader="1" extendable="1" r:id="rId1">
        <pivotArea type="all" dataOnly="0" outline="0" fieldPosition="0"/>
      </pivotSelection>
    </sheetView>
  </sheetViews>
  <sheetFormatPr defaultColWidth="8.72727272727273" defaultRowHeight="14.5" outlineLevelRow="6" outlineLevelCol="1"/>
  <cols>
    <col min="1" max="1" width="11.9090909090909"/>
    <col min="2" max="2" width="16.1818181818182"/>
  </cols>
  <sheetData>
    <row r="3" spans="1:2">
      <c r="A3" t="s">
        <v>19</v>
      </c>
      <c r="B3" t="s">
        <v>0</v>
      </c>
    </row>
    <row r="4" spans="1:2">
      <c r="A4" t="s">
        <v>20</v>
      </c>
      <c r="B4">
        <v>188</v>
      </c>
    </row>
    <row r="5" spans="1:2">
      <c r="A5" t="s">
        <v>21</v>
      </c>
      <c r="B5">
        <v>303</v>
      </c>
    </row>
    <row r="6" spans="1:2">
      <c r="A6" t="s">
        <v>22</v>
      </c>
      <c r="B6">
        <v>509</v>
      </c>
    </row>
    <row r="7" spans="1:2">
      <c r="A7" t="s">
        <v>7</v>
      </c>
      <c r="B7">
        <v>1000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004"/>
  <sheetViews>
    <sheetView workbookViewId="0">
      <selection activeCell="I5" sqref="I5"/>
    </sheetView>
  </sheetViews>
  <sheetFormatPr defaultColWidth="14.4272727272727" defaultRowHeight="15" customHeight="1"/>
  <cols>
    <col min="1" max="1" width="11.5454545454545" customWidth="1"/>
    <col min="2" max="2" width="13.7090909090909" customWidth="1"/>
    <col min="3" max="3" width="12.9090909090909" customWidth="1"/>
    <col min="4" max="7" width="18.1363636363636" style="36" customWidth="1"/>
    <col min="8" max="8" width="24.7272727272727" style="37" customWidth="1"/>
    <col min="9" max="9" width="24.7272727272727" style="38" customWidth="1"/>
    <col min="10" max="10" width="21.7272727272727" style="38" customWidth="1"/>
    <col min="11" max="11" width="20.5454545454545" style="38" customWidth="1"/>
    <col min="12" max="12" width="17.2909090909091" style="39" customWidth="1"/>
    <col min="13" max="13" width="18.1363636363636" style="39" customWidth="1"/>
    <col min="14" max="14" width="20.2909090909091" style="36" customWidth="1"/>
    <col min="15" max="15" width="21" style="39" customWidth="1"/>
    <col min="16" max="16" width="17.5727272727273" style="39" customWidth="1"/>
    <col min="17" max="17" width="17.4272727272727" style="39" customWidth="1"/>
    <col min="18" max="18" width="19.1363636363636" style="39" customWidth="1"/>
    <col min="19" max="19" width="14" customWidth="1"/>
    <col min="20" max="31" width="8.70909090909091" customWidth="1"/>
  </cols>
  <sheetData>
    <row r="1" ht="14.25" customHeight="1" spans="1:19">
      <c r="A1" s="40" t="s">
        <v>24</v>
      </c>
      <c r="B1" s="40" t="s">
        <v>8</v>
      </c>
      <c r="C1" s="40" t="s">
        <v>19</v>
      </c>
      <c r="D1" s="41" t="s">
        <v>25</v>
      </c>
      <c r="E1" s="41" t="s">
        <v>26</v>
      </c>
      <c r="F1" s="41" t="s">
        <v>27</v>
      </c>
      <c r="G1" s="41" t="s">
        <v>28</v>
      </c>
      <c r="H1" s="42" t="s">
        <v>1</v>
      </c>
      <c r="I1" s="47" t="s">
        <v>29</v>
      </c>
      <c r="J1" s="47" t="s">
        <v>30</v>
      </c>
      <c r="K1" s="47" t="s">
        <v>31</v>
      </c>
      <c r="L1" s="40" t="s">
        <v>2</v>
      </c>
      <c r="M1" s="40" t="s">
        <v>32</v>
      </c>
      <c r="N1" s="41" t="s">
        <v>33</v>
      </c>
      <c r="O1" s="40" t="s">
        <v>34</v>
      </c>
      <c r="P1" s="40" t="s">
        <v>35</v>
      </c>
      <c r="Q1" s="40" t="s">
        <v>36</v>
      </c>
      <c r="R1" s="49" t="s">
        <v>37</v>
      </c>
      <c r="S1" s="50" t="s">
        <v>38</v>
      </c>
    </row>
    <row r="2" ht="14.25" customHeight="1" spans="1:19">
      <c r="A2" s="43" t="s">
        <v>39</v>
      </c>
      <c r="B2" s="43" t="s">
        <v>11</v>
      </c>
      <c r="C2" s="43" t="s">
        <v>22</v>
      </c>
      <c r="D2" s="44">
        <v>45951</v>
      </c>
      <c r="E2" s="44">
        <v>45955</v>
      </c>
      <c r="F2" s="44">
        <v>45959</v>
      </c>
      <c r="G2" s="44">
        <v>45964</v>
      </c>
      <c r="H2" s="45" t="str">
        <f>IF(G2&lt;&gt;"","Delivered",IF(F2&lt;&gt;"","Booked",IF(E2&lt;&gt;"","Pre-Booked",IF(D2&lt;&gt;"","Lead",""))))</f>
        <v>Delivered</v>
      </c>
      <c r="I2" s="48">
        <f>IF(E2&gt;D2,E2-D2,0)</f>
        <v>4</v>
      </c>
      <c r="J2" s="48">
        <f>IF(F2&gt;E2,F2-E2,0)</f>
        <v>4</v>
      </c>
      <c r="K2" s="48">
        <f>IF(G2&gt;F2,G2-F2,0)</f>
        <v>5</v>
      </c>
      <c r="L2" s="39" t="s">
        <v>9</v>
      </c>
      <c r="N2" s="44">
        <v>45989</v>
      </c>
      <c r="O2" s="39">
        <v>4</v>
      </c>
      <c r="P2" s="39">
        <v>4</v>
      </c>
      <c r="Q2" s="39">
        <v>5</v>
      </c>
      <c r="R2" s="39">
        <v>2</v>
      </c>
      <c r="S2" s="51" t="str">
        <f>IF(R2&gt;=9,"Promoter",IF(R2&gt;=7,"Passive","Detractor"))</f>
        <v>Detractor</v>
      </c>
    </row>
    <row r="3" ht="14.25" customHeight="1" spans="1:19">
      <c r="A3" s="43" t="s">
        <v>40</v>
      </c>
      <c r="B3" s="43" t="s">
        <v>13</v>
      </c>
      <c r="C3" s="43" t="s">
        <v>22</v>
      </c>
      <c r="D3" s="44">
        <v>45941</v>
      </c>
      <c r="E3" s="44">
        <v>45944</v>
      </c>
      <c r="F3" s="44">
        <v>45949</v>
      </c>
      <c r="G3" s="44">
        <v>45956</v>
      </c>
      <c r="H3" s="45" t="str">
        <f>IF(G3&lt;&gt;"","Delivered",IF(F3&lt;&gt;"","Booked",IF(E3&lt;&gt;"","Pre-Booked",IF(D3&lt;&gt;"","Lead",""))))</f>
        <v>Delivered</v>
      </c>
      <c r="I3" s="48">
        <f t="shared" ref="I3:I66" si="0">IF(E3&gt;D3,E3-D3,0)</f>
        <v>3</v>
      </c>
      <c r="J3" s="48">
        <f t="shared" ref="J3:J66" si="1">IF(F3&gt;E3,F3-E3,0)</f>
        <v>5</v>
      </c>
      <c r="K3" s="48">
        <f t="shared" ref="K3:K66" si="2">IF(G3&gt;F3,G3-F3,0)</f>
        <v>7</v>
      </c>
      <c r="L3" s="39" t="s">
        <v>9</v>
      </c>
      <c r="N3" s="44">
        <v>45983</v>
      </c>
      <c r="O3" s="39">
        <v>3</v>
      </c>
      <c r="P3" s="39">
        <v>5</v>
      </c>
      <c r="Q3" s="39">
        <v>7</v>
      </c>
      <c r="R3" s="39">
        <v>8</v>
      </c>
      <c r="S3" s="51" t="str">
        <f t="shared" ref="S3:S66" si="3">IF(R3&gt;=9,"Promoter",IF(R3&gt;=7,"Passive","Detractor"))</f>
        <v>Passive</v>
      </c>
    </row>
    <row r="4" ht="14.25" customHeight="1" spans="1:19">
      <c r="A4" s="43" t="s">
        <v>41</v>
      </c>
      <c r="B4" s="43" t="s">
        <v>14</v>
      </c>
      <c r="C4" s="43" t="s">
        <v>20</v>
      </c>
      <c r="D4" s="44">
        <v>45931</v>
      </c>
      <c r="H4" s="45" t="str">
        <f>IF(G4&lt;&gt;"","Delivered",IF(F4&lt;&gt;"","Booked",IF(E4&lt;&gt;"","Pre-Booked",IF(D4&lt;&gt;"","Cancelled",""))))</f>
        <v>Cancelled</v>
      </c>
      <c r="I4" s="48">
        <f t="shared" si="0"/>
        <v>0</v>
      </c>
      <c r="J4" s="48">
        <f t="shared" si="1"/>
        <v>0</v>
      </c>
      <c r="K4" s="48">
        <f t="shared" si="2"/>
        <v>0</v>
      </c>
      <c r="L4" s="39" t="s">
        <v>10</v>
      </c>
      <c r="M4" s="39" t="s">
        <v>42</v>
      </c>
      <c r="S4" s="51" t="str">
        <f t="shared" si="3"/>
        <v>Detractor</v>
      </c>
    </row>
    <row r="5" ht="14.25" customHeight="1" spans="1:19">
      <c r="A5" s="43" t="s">
        <v>43</v>
      </c>
      <c r="B5" s="43" t="s">
        <v>11</v>
      </c>
      <c r="C5" s="43" t="s">
        <v>20</v>
      </c>
      <c r="D5" s="44">
        <v>45958</v>
      </c>
      <c r="G5" s="38"/>
      <c r="H5" s="45" t="str">
        <f t="shared" ref="H5:H68" si="4">IF(G5&lt;&gt;"","Delivered",IF(F5&lt;&gt;"","Booked",IF(E5&lt;&gt;"","Pre-Booked",IF(D5&lt;&gt;"","Cancelled",""))))</f>
        <v>Cancelled</v>
      </c>
      <c r="I5" s="48">
        <f t="shared" si="0"/>
        <v>0</v>
      </c>
      <c r="J5" s="48">
        <f t="shared" si="1"/>
        <v>0</v>
      </c>
      <c r="K5" s="48">
        <f t="shared" si="2"/>
        <v>0</v>
      </c>
      <c r="L5" s="39" t="s">
        <v>10</v>
      </c>
      <c r="M5" s="39" t="s">
        <v>44</v>
      </c>
      <c r="S5" s="51" t="str">
        <f t="shared" si="3"/>
        <v>Detractor</v>
      </c>
    </row>
    <row r="6" ht="14.25" customHeight="1" spans="1:19">
      <c r="A6" s="43" t="s">
        <v>45</v>
      </c>
      <c r="B6" s="43" t="s">
        <v>13</v>
      </c>
      <c r="C6" s="43" t="s">
        <v>22</v>
      </c>
      <c r="D6" s="44">
        <v>45944</v>
      </c>
      <c r="E6" s="44">
        <v>45948</v>
      </c>
      <c r="F6" s="44">
        <v>45951</v>
      </c>
      <c r="G6" s="44">
        <v>45954</v>
      </c>
      <c r="H6" s="45" t="str">
        <f t="shared" si="4"/>
        <v>Delivered</v>
      </c>
      <c r="I6" s="48">
        <f t="shared" si="0"/>
        <v>4</v>
      </c>
      <c r="J6" s="48">
        <f t="shared" si="1"/>
        <v>3</v>
      </c>
      <c r="K6" s="48">
        <f t="shared" si="2"/>
        <v>3</v>
      </c>
      <c r="L6" s="39" t="s">
        <v>9</v>
      </c>
      <c r="N6" s="44">
        <v>45973</v>
      </c>
      <c r="O6" s="39">
        <v>4</v>
      </c>
      <c r="P6" s="39">
        <v>3</v>
      </c>
      <c r="Q6" s="39">
        <v>3</v>
      </c>
      <c r="R6" s="39">
        <v>8</v>
      </c>
      <c r="S6" s="51" t="str">
        <f t="shared" si="3"/>
        <v>Passive</v>
      </c>
    </row>
    <row r="7" ht="14.25" customHeight="1" spans="1:19">
      <c r="A7" s="43" t="s">
        <v>46</v>
      </c>
      <c r="B7" s="43" t="s">
        <v>13</v>
      </c>
      <c r="C7" s="43" t="s">
        <v>22</v>
      </c>
      <c r="D7" s="44">
        <v>45957</v>
      </c>
      <c r="E7" s="44">
        <v>45961</v>
      </c>
      <c r="F7" s="44">
        <v>45965</v>
      </c>
      <c r="G7" s="44">
        <v>45968</v>
      </c>
      <c r="H7" s="45" t="str">
        <f t="shared" si="4"/>
        <v>Delivered</v>
      </c>
      <c r="I7" s="48">
        <f t="shared" si="0"/>
        <v>4</v>
      </c>
      <c r="J7" s="48">
        <f t="shared" si="1"/>
        <v>4</v>
      </c>
      <c r="K7" s="48">
        <f t="shared" si="2"/>
        <v>3</v>
      </c>
      <c r="L7" s="39" t="s">
        <v>9</v>
      </c>
      <c r="N7" s="44">
        <v>45983</v>
      </c>
      <c r="O7" s="39">
        <v>4</v>
      </c>
      <c r="P7" s="39">
        <v>4</v>
      </c>
      <c r="Q7" s="39">
        <v>3</v>
      </c>
      <c r="R7" s="39">
        <v>9</v>
      </c>
      <c r="S7" s="51" t="str">
        <f t="shared" si="3"/>
        <v>Promoter</v>
      </c>
    </row>
    <row r="8" ht="14.25" customHeight="1" spans="1:19">
      <c r="A8" s="43" t="s">
        <v>47</v>
      </c>
      <c r="B8" s="43" t="s">
        <v>14</v>
      </c>
      <c r="C8" s="43" t="s">
        <v>21</v>
      </c>
      <c r="D8" s="44">
        <v>45946</v>
      </c>
      <c r="E8" s="44">
        <v>45950</v>
      </c>
      <c r="F8" s="44">
        <v>45951</v>
      </c>
      <c r="G8" s="44">
        <v>45958</v>
      </c>
      <c r="H8" s="45" t="str">
        <f t="shared" si="4"/>
        <v>Delivered</v>
      </c>
      <c r="I8" s="48">
        <f t="shared" si="0"/>
        <v>4</v>
      </c>
      <c r="J8" s="48">
        <f t="shared" si="1"/>
        <v>1</v>
      </c>
      <c r="K8" s="48">
        <f t="shared" si="2"/>
        <v>7</v>
      </c>
      <c r="L8" s="39" t="s">
        <v>9</v>
      </c>
      <c r="N8" s="44">
        <v>45983</v>
      </c>
      <c r="O8" s="39">
        <v>4</v>
      </c>
      <c r="P8" s="39">
        <v>1</v>
      </c>
      <c r="Q8" s="39">
        <v>7</v>
      </c>
      <c r="R8" s="39">
        <v>10</v>
      </c>
      <c r="S8" s="51" t="str">
        <f t="shared" si="3"/>
        <v>Promoter</v>
      </c>
    </row>
    <row r="9" ht="14.25" customHeight="1" spans="1:19">
      <c r="A9" s="43" t="s">
        <v>48</v>
      </c>
      <c r="B9" s="43" t="s">
        <v>12</v>
      </c>
      <c r="C9" s="43" t="s">
        <v>22</v>
      </c>
      <c r="D9" s="44">
        <v>45934</v>
      </c>
      <c r="E9" s="44">
        <v>45935</v>
      </c>
      <c r="F9" s="44">
        <v>45938</v>
      </c>
      <c r="G9" s="44">
        <v>45945</v>
      </c>
      <c r="H9" s="45" t="str">
        <f t="shared" si="4"/>
        <v>Delivered</v>
      </c>
      <c r="I9" s="48">
        <f t="shared" si="0"/>
        <v>1</v>
      </c>
      <c r="J9" s="48">
        <f t="shared" si="1"/>
        <v>3</v>
      </c>
      <c r="K9" s="48">
        <f t="shared" si="2"/>
        <v>7</v>
      </c>
      <c r="L9" s="39" t="s">
        <v>10</v>
      </c>
      <c r="M9" s="39" t="s">
        <v>49</v>
      </c>
      <c r="O9" s="39">
        <v>1</v>
      </c>
      <c r="P9" s="39">
        <v>3</v>
      </c>
      <c r="Q9" s="39">
        <v>7</v>
      </c>
      <c r="S9" s="51" t="str">
        <f t="shared" si="3"/>
        <v>Detractor</v>
      </c>
    </row>
    <row r="10" ht="14.25" customHeight="1" spans="1:19">
      <c r="A10" s="43" t="s">
        <v>50</v>
      </c>
      <c r="B10" s="43" t="s">
        <v>11</v>
      </c>
      <c r="C10" s="43" t="s">
        <v>21</v>
      </c>
      <c r="D10" s="44">
        <v>45944</v>
      </c>
      <c r="E10" s="44">
        <v>45947</v>
      </c>
      <c r="F10" s="44">
        <v>45950</v>
      </c>
      <c r="G10" s="46">
        <v>45955</v>
      </c>
      <c r="H10" s="45" t="str">
        <f t="shared" si="4"/>
        <v>Delivered</v>
      </c>
      <c r="I10" s="48">
        <f t="shared" si="0"/>
        <v>3</v>
      </c>
      <c r="J10" s="48">
        <f t="shared" si="1"/>
        <v>3</v>
      </c>
      <c r="K10" s="48">
        <f t="shared" si="2"/>
        <v>5</v>
      </c>
      <c r="L10" s="39" t="s">
        <v>9</v>
      </c>
      <c r="N10" s="44">
        <v>45966</v>
      </c>
      <c r="O10" s="39">
        <v>3</v>
      </c>
      <c r="P10" s="39">
        <v>3</v>
      </c>
      <c r="Q10" s="39">
        <v>5</v>
      </c>
      <c r="R10" s="39">
        <v>8</v>
      </c>
      <c r="S10" s="51" t="str">
        <f t="shared" si="3"/>
        <v>Passive</v>
      </c>
    </row>
    <row r="11" ht="14.25" customHeight="1" spans="1:19">
      <c r="A11" s="43" t="s">
        <v>51</v>
      </c>
      <c r="B11" s="43" t="s">
        <v>14</v>
      </c>
      <c r="C11" s="43" t="s">
        <v>22</v>
      </c>
      <c r="D11" s="44">
        <v>45961</v>
      </c>
      <c r="E11" s="44">
        <v>45965</v>
      </c>
      <c r="F11" s="44">
        <v>45966</v>
      </c>
      <c r="G11" s="44">
        <v>45971</v>
      </c>
      <c r="H11" s="45" t="str">
        <f t="shared" si="4"/>
        <v>Delivered</v>
      </c>
      <c r="I11" s="48">
        <f t="shared" si="0"/>
        <v>4</v>
      </c>
      <c r="J11" s="48">
        <f t="shared" si="1"/>
        <v>1</v>
      </c>
      <c r="K11" s="48">
        <f t="shared" si="2"/>
        <v>5</v>
      </c>
      <c r="L11" s="39" t="s">
        <v>9</v>
      </c>
      <c r="N11" s="44">
        <v>45983</v>
      </c>
      <c r="O11" s="39">
        <v>4</v>
      </c>
      <c r="P11" s="39">
        <v>1</v>
      </c>
      <c r="Q11" s="39">
        <v>5</v>
      </c>
      <c r="R11" s="39">
        <v>6</v>
      </c>
      <c r="S11" s="51" t="str">
        <f t="shared" si="3"/>
        <v>Detractor</v>
      </c>
    </row>
    <row r="12" ht="14.25" customHeight="1" spans="1:19">
      <c r="A12" s="43" t="s">
        <v>52</v>
      </c>
      <c r="B12" s="43" t="s">
        <v>11</v>
      </c>
      <c r="C12" s="43" t="s">
        <v>20</v>
      </c>
      <c r="D12" s="44">
        <v>45942</v>
      </c>
      <c r="H12" s="45" t="str">
        <f t="shared" si="4"/>
        <v>Cancelled</v>
      </c>
      <c r="I12" s="48">
        <f t="shared" si="0"/>
        <v>0</v>
      </c>
      <c r="J12" s="48">
        <f t="shared" si="1"/>
        <v>0</v>
      </c>
      <c r="K12" s="48">
        <f t="shared" si="2"/>
        <v>0</v>
      </c>
      <c r="L12" s="39" t="s">
        <v>10</v>
      </c>
      <c r="M12" s="39" t="s">
        <v>42</v>
      </c>
      <c r="S12" s="51" t="str">
        <f t="shared" si="3"/>
        <v>Detractor</v>
      </c>
    </row>
    <row r="13" ht="14.25" customHeight="1" spans="1:19">
      <c r="A13" s="43" t="s">
        <v>53</v>
      </c>
      <c r="B13" s="43" t="s">
        <v>13</v>
      </c>
      <c r="C13" s="43" t="s">
        <v>22</v>
      </c>
      <c r="D13" s="44">
        <v>45951</v>
      </c>
      <c r="E13" s="44">
        <v>45954</v>
      </c>
      <c r="F13" s="44">
        <v>45958</v>
      </c>
      <c r="G13" s="44">
        <v>45960</v>
      </c>
      <c r="H13" s="45" t="str">
        <f t="shared" si="4"/>
        <v>Delivered</v>
      </c>
      <c r="I13" s="48">
        <f t="shared" si="0"/>
        <v>3</v>
      </c>
      <c r="J13" s="48">
        <f t="shared" si="1"/>
        <v>4</v>
      </c>
      <c r="K13" s="48">
        <f t="shared" si="2"/>
        <v>2</v>
      </c>
      <c r="L13" s="39" t="s">
        <v>9</v>
      </c>
      <c r="N13" s="44">
        <v>45971</v>
      </c>
      <c r="O13" s="39">
        <v>3</v>
      </c>
      <c r="P13" s="39">
        <v>4</v>
      </c>
      <c r="Q13" s="39">
        <v>2</v>
      </c>
      <c r="R13" s="39">
        <v>0</v>
      </c>
      <c r="S13" s="51" t="str">
        <f t="shared" si="3"/>
        <v>Detractor</v>
      </c>
    </row>
    <row r="14" ht="14.25" customHeight="1" spans="1:19">
      <c r="A14" s="43" t="s">
        <v>54</v>
      </c>
      <c r="B14" s="43" t="s">
        <v>13</v>
      </c>
      <c r="C14" s="43" t="s">
        <v>22</v>
      </c>
      <c r="D14" s="44">
        <v>45959</v>
      </c>
      <c r="E14" s="44">
        <v>45962</v>
      </c>
      <c r="F14" s="44">
        <v>45967</v>
      </c>
      <c r="G14" s="44">
        <v>45974</v>
      </c>
      <c r="H14" s="45" t="str">
        <f t="shared" si="4"/>
        <v>Delivered</v>
      </c>
      <c r="I14" s="48">
        <f t="shared" si="0"/>
        <v>3</v>
      </c>
      <c r="J14" s="48">
        <f t="shared" si="1"/>
        <v>5</v>
      </c>
      <c r="K14" s="48">
        <f t="shared" si="2"/>
        <v>7</v>
      </c>
      <c r="L14" s="39" t="s">
        <v>9</v>
      </c>
      <c r="N14" s="44">
        <v>45991</v>
      </c>
      <c r="O14" s="39">
        <v>3</v>
      </c>
      <c r="P14" s="39">
        <v>5</v>
      </c>
      <c r="Q14" s="39">
        <v>7</v>
      </c>
      <c r="R14" s="39">
        <v>10</v>
      </c>
      <c r="S14" s="51" t="str">
        <f t="shared" si="3"/>
        <v>Promoter</v>
      </c>
    </row>
    <row r="15" ht="14.25" customHeight="1" spans="1:19">
      <c r="A15" s="43" t="s">
        <v>55</v>
      </c>
      <c r="B15" s="43" t="s">
        <v>12</v>
      </c>
      <c r="C15" s="43" t="s">
        <v>22</v>
      </c>
      <c r="D15" s="44">
        <v>45957</v>
      </c>
      <c r="E15" s="44">
        <v>45960</v>
      </c>
      <c r="F15" s="44">
        <v>45963</v>
      </c>
      <c r="G15" s="44">
        <v>45969</v>
      </c>
      <c r="H15" s="45" t="str">
        <f t="shared" si="4"/>
        <v>Delivered</v>
      </c>
      <c r="I15" s="48">
        <f t="shared" si="0"/>
        <v>3</v>
      </c>
      <c r="J15" s="48">
        <f t="shared" si="1"/>
        <v>3</v>
      </c>
      <c r="K15" s="48">
        <f t="shared" si="2"/>
        <v>6</v>
      </c>
      <c r="L15" s="39" t="s">
        <v>9</v>
      </c>
      <c r="N15" s="44">
        <v>45998</v>
      </c>
      <c r="O15" s="39">
        <v>3</v>
      </c>
      <c r="P15" s="39">
        <v>3</v>
      </c>
      <c r="Q15" s="39">
        <v>6</v>
      </c>
      <c r="R15" s="39">
        <v>2</v>
      </c>
      <c r="S15" s="51" t="str">
        <f t="shared" si="3"/>
        <v>Detractor</v>
      </c>
    </row>
    <row r="16" ht="14.25" customHeight="1" spans="1:19">
      <c r="A16" s="43" t="s">
        <v>56</v>
      </c>
      <c r="B16" s="43" t="s">
        <v>13</v>
      </c>
      <c r="C16" s="43" t="s">
        <v>21</v>
      </c>
      <c r="D16" s="44">
        <v>45945</v>
      </c>
      <c r="E16" s="44">
        <v>45947</v>
      </c>
      <c r="F16" s="44">
        <v>45948</v>
      </c>
      <c r="G16" s="44">
        <v>45951</v>
      </c>
      <c r="H16" s="45" t="str">
        <f t="shared" si="4"/>
        <v>Delivered</v>
      </c>
      <c r="I16" s="48">
        <f t="shared" si="0"/>
        <v>2</v>
      </c>
      <c r="J16" s="48">
        <f t="shared" si="1"/>
        <v>1</v>
      </c>
      <c r="K16" s="48">
        <f t="shared" si="2"/>
        <v>3</v>
      </c>
      <c r="L16" s="39" t="s">
        <v>10</v>
      </c>
      <c r="M16" s="39" t="s">
        <v>49</v>
      </c>
      <c r="O16" s="39">
        <v>2</v>
      </c>
      <c r="P16" s="39">
        <v>1</v>
      </c>
      <c r="Q16" s="39">
        <v>3</v>
      </c>
      <c r="S16" s="51" t="str">
        <f t="shared" si="3"/>
        <v>Detractor</v>
      </c>
    </row>
    <row r="17" ht="14.25" customHeight="1" spans="1:19">
      <c r="A17" s="43" t="s">
        <v>57</v>
      </c>
      <c r="B17" s="43" t="s">
        <v>13</v>
      </c>
      <c r="C17" s="43" t="s">
        <v>22</v>
      </c>
      <c r="D17" s="44">
        <v>45953</v>
      </c>
      <c r="E17" s="44">
        <v>45957</v>
      </c>
      <c r="F17" s="44">
        <v>45962</v>
      </c>
      <c r="G17" s="44">
        <v>45967</v>
      </c>
      <c r="H17" s="45" t="str">
        <f t="shared" si="4"/>
        <v>Delivered</v>
      </c>
      <c r="I17" s="48">
        <f t="shared" si="0"/>
        <v>4</v>
      </c>
      <c r="J17" s="48">
        <f t="shared" si="1"/>
        <v>5</v>
      </c>
      <c r="K17" s="48">
        <f t="shared" si="2"/>
        <v>5</v>
      </c>
      <c r="L17" s="39" t="s">
        <v>9</v>
      </c>
      <c r="N17" s="44">
        <v>45984</v>
      </c>
      <c r="O17" s="39">
        <v>4</v>
      </c>
      <c r="P17" s="39">
        <v>5</v>
      </c>
      <c r="Q17" s="39">
        <v>5</v>
      </c>
      <c r="R17" s="39">
        <v>8</v>
      </c>
      <c r="S17" s="51" t="str">
        <f t="shared" si="3"/>
        <v>Passive</v>
      </c>
    </row>
    <row r="18" ht="14.25" customHeight="1" spans="1:19">
      <c r="A18" s="43" t="s">
        <v>58</v>
      </c>
      <c r="B18" s="43" t="s">
        <v>14</v>
      </c>
      <c r="C18" s="43" t="s">
        <v>21</v>
      </c>
      <c r="D18" s="44">
        <v>45935</v>
      </c>
      <c r="E18" s="44">
        <v>45936</v>
      </c>
      <c r="F18" s="44">
        <v>45940</v>
      </c>
      <c r="G18" s="44">
        <v>45946</v>
      </c>
      <c r="H18" s="45" t="str">
        <f t="shared" si="4"/>
        <v>Delivered</v>
      </c>
      <c r="I18" s="48">
        <f t="shared" si="0"/>
        <v>1</v>
      </c>
      <c r="J18" s="48">
        <f t="shared" si="1"/>
        <v>4</v>
      </c>
      <c r="K18" s="48">
        <f t="shared" si="2"/>
        <v>6</v>
      </c>
      <c r="L18" s="39" t="s">
        <v>9</v>
      </c>
      <c r="N18" s="44">
        <v>45956</v>
      </c>
      <c r="O18" s="39">
        <v>1</v>
      </c>
      <c r="P18" s="39">
        <v>4</v>
      </c>
      <c r="Q18" s="39">
        <v>6</v>
      </c>
      <c r="R18" s="39">
        <v>2</v>
      </c>
      <c r="S18" s="51" t="str">
        <f t="shared" si="3"/>
        <v>Detractor</v>
      </c>
    </row>
    <row r="19" ht="14.25" customHeight="1" spans="1:19">
      <c r="A19" s="43" t="s">
        <v>59</v>
      </c>
      <c r="B19" s="43" t="s">
        <v>11</v>
      </c>
      <c r="C19" s="43" t="s">
        <v>21</v>
      </c>
      <c r="D19" s="44">
        <v>45944</v>
      </c>
      <c r="E19" s="44">
        <v>45945</v>
      </c>
      <c r="F19" s="44">
        <v>45948</v>
      </c>
      <c r="G19" s="44">
        <v>45953</v>
      </c>
      <c r="H19" s="45" t="str">
        <f t="shared" si="4"/>
        <v>Delivered</v>
      </c>
      <c r="I19" s="48">
        <f t="shared" si="0"/>
        <v>1</v>
      </c>
      <c r="J19" s="48">
        <f t="shared" si="1"/>
        <v>3</v>
      </c>
      <c r="K19" s="48">
        <f t="shared" si="2"/>
        <v>5</v>
      </c>
      <c r="L19" s="39" t="s">
        <v>9</v>
      </c>
      <c r="N19" s="44">
        <v>45979</v>
      </c>
      <c r="O19" s="39">
        <v>1</v>
      </c>
      <c r="P19" s="39">
        <v>3</v>
      </c>
      <c r="Q19" s="39">
        <v>5</v>
      </c>
      <c r="R19" s="39">
        <v>0</v>
      </c>
      <c r="S19" s="51" t="str">
        <f t="shared" si="3"/>
        <v>Detractor</v>
      </c>
    </row>
    <row r="20" ht="14.25" customHeight="1" spans="1:19">
      <c r="A20" s="43" t="s">
        <v>60</v>
      </c>
      <c r="B20" s="43" t="s">
        <v>11</v>
      </c>
      <c r="C20" s="43" t="s">
        <v>22</v>
      </c>
      <c r="D20" s="44">
        <v>45936</v>
      </c>
      <c r="E20" s="44">
        <v>45937</v>
      </c>
      <c r="F20" s="44">
        <v>45942</v>
      </c>
      <c r="G20" s="44">
        <v>45947</v>
      </c>
      <c r="H20" s="45" t="str">
        <f t="shared" si="4"/>
        <v>Delivered</v>
      </c>
      <c r="I20" s="48">
        <f t="shared" si="0"/>
        <v>1</v>
      </c>
      <c r="J20" s="48">
        <f t="shared" si="1"/>
        <v>5</v>
      </c>
      <c r="K20" s="48">
        <f t="shared" si="2"/>
        <v>5</v>
      </c>
      <c r="L20" s="39" t="s">
        <v>9</v>
      </c>
      <c r="N20" s="44">
        <v>45972</v>
      </c>
      <c r="O20" s="39">
        <v>1</v>
      </c>
      <c r="P20" s="39">
        <v>5</v>
      </c>
      <c r="Q20" s="39">
        <v>5</v>
      </c>
      <c r="R20" s="39">
        <v>5</v>
      </c>
      <c r="S20" s="51" t="str">
        <f t="shared" si="3"/>
        <v>Detractor</v>
      </c>
    </row>
    <row r="21" ht="14.25" customHeight="1" spans="1:19">
      <c r="A21" s="43" t="s">
        <v>61</v>
      </c>
      <c r="B21" s="43" t="s">
        <v>14</v>
      </c>
      <c r="C21" s="43" t="s">
        <v>22</v>
      </c>
      <c r="D21" s="44">
        <v>45954</v>
      </c>
      <c r="E21" s="44">
        <v>45955</v>
      </c>
      <c r="F21" s="44">
        <v>45960</v>
      </c>
      <c r="G21" s="44">
        <v>45962</v>
      </c>
      <c r="H21" s="45" t="str">
        <f t="shared" si="4"/>
        <v>Delivered</v>
      </c>
      <c r="I21" s="48">
        <f t="shared" si="0"/>
        <v>1</v>
      </c>
      <c r="J21" s="48">
        <f t="shared" si="1"/>
        <v>5</v>
      </c>
      <c r="K21" s="48">
        <f t="shared" si="2"/>
        <v>2</v>
      </c>
      <c r="L21" s="39" t="s">
        <v>9</v>
      </c>
      <c r="N21" s="44">
        <v>45972</v>
      </c>
      <c r="O21" s="39">
        <v>1</v>
      </c>
      <c r="P21" s="39">
        <v>5</v>
      </c>
      <c r="Q21" s="39">
        <v>2</v>
      </c>
      <c r="R21" s="39">
        <v>4</v>
      </c>
      <c r="S21" s="51" t="str">
        <f t="shared" si="3"/>
        <v>Detractor</v>
      </c>
    </row>
    <row r="22" ht="14.25" customHeight="1" spans="1:19">
      <c r="A22" s="43" t="s">
        <v>62</v>
      </c>
      <c r="B22" s="43" t="s">
        <v>12</v>
      </c>
      <c r="C22" s="43" t="s">
        <v>22</v>
      </c>
      <c r="D22" s="44">
        <v>45947</v>
      </c>
      <c r="E22" s="44">
        <v>45951</v>
      </c>
      <c r="F22" s="44">
        <v>45953</v>
      </c>
      <c r="G22" s="44">
        <v>45960</v>
      </c>
      <c r="H22" s="45" t="str">
        <f t="shared" si="4"/>
        <v>Delivered</v>
      </c>
      <c r="I22" s="48">
        <f t="shared" si="0"/>
        <v>4</v>
      </c>
      <c r="J22" s="48">
        <f t="shared" si="1"/>
        <v>2</v>
      </c>
      <c r="K22" s="48">
        <f t="shared" si="2"/>
        <v>7</v>
      </c>
      <c r="L22" s="39" t="s">
        <v>9</v>
      </c>
      <c r="N22" s="44">
        <v>45980</v>
      </c>
      <c r="O22" s="39">
        <v>4</v>
      </c>
      <c r="P22" s="39">
        <v>2</v>
      </c>
      <c r="Q22" s="39">
        <v>7</v>
      </c>
      <c r="R22" s="39">
        <v>6</v>
      </c>
      <c r="S22" s="51" t="str">
        <f t="shared" si="3"/>
        <v>Detractor</v>
      </c>
    </row>
    <row r="23" ht="14.25" customHeight="1" spans="1:19">
      <c r="A23" s="43" t="s">
        <v>63</v>
      </c>
      <c r="B23" s="43" t="s">
        <v>11</v>
      </c>
      <c r="C23" s="43" t="s">
        <v>21</v>
      </c>
      <c r="D23" s="44">
        <v>45961</v>
      </c>
      <c r="E23" s="44">
        <v>45962</v>
      </c>
      <c r="F23" s="44">
        <v>45963</v>
      </c>
      <c r="G23" s="44">
        <v>45966</v>
      </c>
      <c r="H23" s="45" t="str">
        <f t="shared" si="4"/>
        <v>Delivered</v>
      </c>
      <c r="I23" s="48">
        <f t="shared" si="0"/>
        <v>1</v>
      </c>
      <c r="J23" s="48">
        <f t="shared" si="1"/>
        <v>1</v>
      </c>
      <c r="K23" s="48">
        <f t="shared" si="2"/>
        <v>3</v>
      </c>
      <c r="L23" s="39" t="s">
        <v>9</v>
      </c>
      <c r="N23" s="44">
        <v>45995</v>
      </c>
      <c r="O23" s="39">
        <v>1</v>
      </c>
      <c r="P23" s="39">
        <v>1</v>
      </c>
      <c r="Q23" s="39">
        <v>3</v>
      </c>
      <c r="R23" s="39">
        <v>3</v>
      </c>
      <c r="S23" s="51" t="str">
        <f t="shared" si="3"/>
        <v>Detractor</v>
      </c>
    </row>
    <row r="24" ht="14.25" customHeight="1" spans="1:19">
      <c r="A24" s="43" t="s">
        <v>64</v>
      </c>
      <c r="B24" s="43" t="s">
        <v>13</v>
      </c>
      <c r="C24" s="43" t="s">
        <v>22</v>
      </c>
      <c r="D24" s="44">
        <v>45951</v>
      </c>
      <c r="E24" s="44">
        <v>45954</v>
      </c>
      <c r="F24" s="44">
        <v>45959</v>
      </c>
      <c r="G24" s="44">
        <v>45962</v>
      </c>
      <c r="H24" s="45" t="str">
        <f t="shared" si="4"/>
        <v>Delivered</v>
      </c>
      <c r="I24" s="48">
        <f t="shared" si="0"/>
        <v>3</v>
      </c>
      <c r="J24" s="48">
        <f t="shared" si="1"/>
        <v>5</v>
      </c>
      <c r="K24" s="48">
        <f t="shared" si="2"/>
        <v>3</v>
      </c>
      <c r="L24" s="39" t="s">
        <v>9</v>
      </c>
      <c r="N24" s="44">
        <v>45978</v>
      </c>
      <c r="O24" s="39">
        <v>3</v>
      </c>
      <c r="P24" s="39">
        <v>5</v>
      </c>
      <c r="Q24" s="39">
        <v>3</v>
      </c>
      <c r="R24" s="39">
        <v>8</v>
      </c>
      <c r="S24" s="51" t="str">
        <f t="shared" si="3"/>
        <v>Passive</v>
      </c>
    </row>
    <row r="25" ht="14.25" customHeight="1" spans="1:19">
      <c r="A25" s="43" t="s">
        <v>65</v>
      </c>
      <c r="B25" s="43" t="s">
        <v>11</v>
      </c>
      <c r="C25" s="43" t="s">
        <v>22</v>
      </c>
      <c r="D25" s="44">
        <v>45939</v>
      </c>
      <c r="E25" s="44">
        <v>45941</v>
      </c>
      <c r="F25" s="44">
        <v>45945</v>
      </c>
      <c r="G25" s="44">
        <v>45949</v>
      </c>
      <c r="H25" s="45" t="str">
        <f t="shared" si="4"/>
        <v>Delivered</v>
      </c>
      <c r="I25" s="48">
        <f t="shared" si="0"/>
        <v>2</v>
      </c>
      <c r="J25" s="48">
        <f t="shared" si="1"/>
        <v>4</v>
      </c>
      <c r="K25" s="48">
        <f t="shared" si="2"/>
        <v>4</v>
      </c>
      <c r="L25" s="39" t="s">
        <v>9</v>
      </c>
      <c r="N25" s="44">
        <v>45963</v>
      </c>
      <c r="O25" s="39">
        <v>2</v>
      </c>
      <c r="P25" s="39">
        <v>4</v>
      </c>
      <c r="Q25" s="39">
        <v>4</v>
      </c>
      <c r="R25" s="39">
        <v>3</v>
      </c>
      <c r="S25" s="51" t="str">
        <f t="shared" si="3"/>
        <v>Detractor</v>
      </c>
    </row>
    <row r="26" ht="14.25" customHeight="1" spans="1:19">
      <c r="A26" s="43" t="s">
        <v>66</v>
      </c>
      <c r="B26" s="43" t="s">
        <v>13</v>
      </c>
      <c r="C26" s="43" t="s">
        <v>22</v>
      </c>
      <c r="D26" s="44">
        <v>45950</v>
      </c>
      <c r="E26" s="44">
        <v>45955</v>
      </c>
      <c r="F26" s="44">
        <v>45957</v>
      </c>
      <c r="G26" s="44">
        <v>45964</v>
      </c>
      <c r="H26" s="45" t="str">
        <f t="shared" si="4"/>
        <v>Delivered</v>
      </c>
      <c r="I26" s="48">
        <f t="shared" si="0"/>
        <v>5</v>
      </c>
      <c r="J26" s="48">
        <f t="shared" si="1"/>
        <v>2</v>
      </c>
      <c r="K26" s="48">
        <f t="shared" si="2"/>
        <v>7</v>
      </c>
      <c r="L26" s="39" t="s">
        <v>9</v>
      </c>
      <c r="N26" s="44">
        <v>45984</v>
      </c>
      <c r="O26" s="39">
        <v>5</v>
      </c>
      <c r="P26" s="39">
        <v>2</v>
      </c>
      <c r="Q26" s="39">
        <v>7</v>
      </c>
      <c r="R26" s="39">
        <v>1</v>
      </c>
      <c r="S26" s="51" t="str">
        <f t="shared" si="3"/>
        <v>Detractor</v>
      </c>
    </row>
    <row r="27" ht="14.25" customHeight="1" spans="1:19">
      <c r="A27" s="43" t="s">
        <v>67</v>
      </c>
      <c r="B27" s="43" t="s">
        <v>12</v>
      </c>
      <c r="C27" s="43" t="s">
        <v>22</v>
      </c>
      <c r="D27" s="44">
        <v>45956</v>
      </c>
      <c r="E27" s="44">
        <v>45957</v>
      </c>
      <c r="F27" s="44">
        <v>45962</v>
      </c>
      <c r="G27" s="44">
        <v>45964</v>
      </c>
      <c r="H27" s="45" t="str">
        <f t="shared" si="4"/>
        <v>Delivered</v>
      </c>
      <c r="I27" s="48">
        <f t="shared" si="0"/>
        <v>1</v>
      </c>
      <c r="J27" s="48">
        <f t="shared" si="1"/>
        <v>5</v>
      </c>
      <c r="K27" s="48">
        <f t="shared" si="2"/>
        <v>2</v>
      </c>
      <c r="L27" s="39" t="s">
        <v>9</v>
      </c>
      <c r="N27" s="44">
        <v>45979</v>
      </c>
      <c r="O27" s="39">
        <v>1</v>
      </c>
      <c r="P27" s="39">
        <v>5</v>
      </c>
      <c r="Q27" s="39">
        <v>2</v>
      </c>
      <c r="R27" s="39">
        <v>4</v>
      </c>
      <c r="S27" s="51" t="str">
        <f t="shared" si="3"/>
        <v>Detractor</v>
      </c>
    </row>
    <row r="28" ht="14.25" customHeight="1" spans="1:19">
      <c r="A28" s="43" t="s">
        <v>68</v>
      </c>
      <c r="B28" s="43" t="s">
        <v>14</v>
      </c>
      <c r="C28" s="43" t="s">
        <v>22</v>
      </c>
      <c r="D28" s="44">
        <v>45960</v>
      </c>
      <c r="E28" s="44">
        <v>45965</v>
      </c>
      <c r="F28" s="44">
        <v>45970</v>
      </c>
      <c r="G28" s="44">
        <v>45976</v>
      </c>
      <c r="H28" s="45" t="str">
        <f t="shared" si="4"/>
        <v>Delivered</v>
      </c>
      <c r="I28" s="48">
        <f t="shared" si="0"/>
        <v>5</v>
      </c>
      <c r="J28" s="48">
        <f t="shared" si="1"/>
        <v>5</v>
      </c>
      <c r="K28" s="48">
        <f t="shared" si="2"/>
        <v>6</v>
      </c>
      <c r="L28" s="39" t="s">
        <v>9</v>
      </c>
      <c r="N28" s="44">
        <v>45996</v>
      </c>
      <c r="O28" s="39">
        <v>5</v>
      </c>
      <c r="P28" s="39">
        <v>5</v>
      </c>
      <c r="Q28" s="39">
        <v>6</v>
      </c>
      <c r="R28" s="39">
        <v>1</v>
      </c>
      <c r="S28" s="51" t="str">
        <f t="shared" si="3"/>
        <v>Detractor</v>
      </c>
    </row>
    <row r="29" ht="14.25" customHeight="1" spans="1:19">
      <c r="A29" s="43" t="s">
        <v>69</v>
      </c>
      <c r="B29" s="43" t="s">
        <v>11</v>
      </c>
      <c r="C29" s="43" t="s">
        <v>22</v>
      </c>
      <c r="D29" s="44">
        <v>45948</v>
      </c>
      <c r="E29" s="44">
        <v>45953</v>
      </c>
      <c r="F29" s="44">
        <v>45957</v>
      </c>
      <c r="G29" s="44">
        <v>45959</v>
      </c>
      <c r="H29" s="45" t="str">
        <f t="shared" si="4"/>
        <v>Delivered</v>
      </c>
      <c r="I29" s="48">
        <f t="shared" si="0"/>
        <v>5</v>
      </c>
      <c r="J29" s="48">
        <f t="shared" si="1"/>
        <v>4</v>
      </c>
      <c r="K29" s="48">
        <f t="shared" si="2"/>
        <v>2</v>
      </c>
      <c r="L29" s="39" t="s">
        <v>9</v>
      </c>
      <c r="N29" s="44">
        <v>45970</v>
      </c>
      <c r="O29" s="39">
        <v>5</v>
      </c>
      <c r="P29" s="39">
        <v>4</v>
      </c>
      <c r="Q29" s="39">
        <v>2</v>
      </c>
      <c r="R29" s="39">
        <v>3</v>
      </c>
      <c r="S29" s="51" t="str">
        <f t="shared" si="3"/>
        <v>Detractor</v>
      </c>
    </row>
    <row r="30" ht="14.25" customHeight="1" spans="1:19">
      <c r="A30" s="43" t="s">
        <v>70</v>
      </c>
      <c r="B30" s="43" t="s">
        <v>14</v>
      </c>
      <c r="C30" s="43" t="s">
        <v>22</v>
      </c>
      <c r="D30" s="44">
        <v>45955</v>
      </c>
      <c r="E30" s="44">
        <v>45960</v>
      </c>
      <c r="F30" s="44">
        <v>45962</v>
      </c>
      <c r="G30" s="44">
        <v>45968</v>
      </c>
      <c r="H30" s="45" t="str">
        <f t="shared" si="4"/>
        <v>Delivered</v>
      </c>
      <c r="I30" s="48">
        <f t="shared" si="0"/>
        <v>5</v>
      </c>
      <c r="J30" s="48">
        <f t="shared" si="1"/>
        <v>2</v>
      </c>
      <c r="K30" s="48">
        <f t="shared" si="2"/>
        <v>6</v>
      </c>
      <c r="L30" s="39" t="s">
        <v>9</v>
      </c>
      <c r="N30" s="44">
        <v>45978</v>
      </c>
      <c r="O30" s="39">
        <v>5</v>
      </c>
      <c r="P30" s="39">
        <v>2</v>
      </c>
      <c r="Q30" s="39">
        <v>6</v>
      </c>
      <c r="R30" s="39">
        <v>3</v>
      </c>
      <c r="S30" s="51" t="str">
        <f t="shared" si="3"/>
        <v>Detractor</v>
      </c>
    </row>
    <row r="31" ht="14.25" customHeight="1" spans="1:19">
      <c r="A31" s="43" t="s">
        <v>71</v>
      </c>
      <c r="B31" s="43" t="s">
        <v>11</v>
      </c>
      <c r="C31" s="43" t="s">
        <v>20</v>
      </c>
      <c r="D31" s="44">
        <v>45946</v>
      </c>
      <c r="H31" s="45" t="str">
        <f t="shared" si="4"/>
        <v>Cancelled</v>
      </c>
      <c r="I31" s="48">
        <f t="shared" si="0"/>
        <v>0</v>
      </c>
      <c r="J31" s="48">
        <f t="shared" si="1"/>
        <v>0</v>
      </c>
      <c r="K31" s="48">
        <f t="shared" si="2"/>
        <v>0</v>
      </c>
      <c r="L31" s="39" t="s">
        <v>10</v>
      </c>
      <c r="M31" s="39" t="s">
        <v>49</v>
      </c>
      <c r="S31" s="51" t="str">
        <f t="shared" si="3"/>
        <v>Detractor</v>
      </c>
    </row>
    <row r="32" ht="14.25" customHeight="1" spans="1:19">
      <c r="A32" s="43" t="s">
        <v>72</v>
      </c>
      <c r="B32" s="43" t="s">
        <v>13</v>
      </c>
      <c r="C32" s="43" t="s">
        <v>22</v>
      </c>
      <c r="D32" s="44">
        <v>45945</v>
      </c>
      <c r="E32" s="44">
        <v>45948</v>
      </c>
      <c r="F32" s="44">
        <v>45950</v>
      </c>
      <c r="G32" s="44">
        <v>45953</v>
      </c>
      <c r="H32" s="45" t="str">
        <f t="shared" si="4"/>
        <v>Delivered</v>
      </c>
      <c r="I32" s="48">
        <f t="shared" si="0"/>
        <v>3</v>
      </c>
      <c r="J32" s="48">
        <f t="shared" si="1"/>
        <v>2</v>
      </c>
      <c r="K32" s="48">
        <f t="shared" si="2"/>
        <v>3</v>
      </c>
      <c r="L32" s="39" t="s">
        <v>9</v>
      </c>
      <c r="N32" s="44">
        <v>45967</v>
      </c>
      <c r="O32" s="39">
        <v>3</v>
      </c>
      <c r="P32" s="39">
        <v>2</v>
      </c>
      <c r="Q32" s="39">
        <v>3</v>
      </c>
      <c r="R32" s="39">
        <v>3</v>
      </c>
      <c r="S32" s="51" t="str">
        <f t="shared" si="3"/>
        <v>Detractor</v>
      </c>
    </row>
    <row r="33" ht="14.25" customHeight="1" spans="1:19">
      <c r="A33" s="43" t="s">
        <v>73</v>
      </c>
      <c r="B33" s="43" t="s">
        <v>14</v>
      </c>
      <c r="C33" s="43" t="s">
        <v>22</v>
      </c>
      <c r="D33" s="44">
        <v>45944</v>
      </c>
      <c r="E33" s="44">
        <v>45945</v>
      </c>
      <c r="F33" s="44">
        <v>45946</v>
      </c>
      <c r="G33" s="44">
        <v>45950</v>
      </c>
      <c r="H33" s="45" t="str">
        <f t="shared" si="4"/>
        <v>Delivered</v>
      </c>
      <c r="I33" s="48">
        <f t="shared" si="0"/>
        <v>1</v>
      </c>
      <c r="J33" s="48">
        <f t="shared" si="1"/>
        <v>1</v>
      </c>
      <c r="K33" s="48">
        <f t="shared" si="2"/>
        <v>4</v>
      </c>
      <c r="L33" s="39" t="s">
        <v>9</v>
      </c>
      <c r="N33" s="44">
        <v>45978</v>
      </c>
      <c r="O33" s="39">
        <v>1</v>
      </c>
      <c r="P33" s="39">
        <v>1</v>
      </c>
      <c r="Q33" s="39">
        <v>4</v>
      </c>
      <c r="R33" s="39">
        <v>5</v>
      </c>
      <c r="S33" s="51" t="str">
        <f t="shared" si="3"/>
        <v>Detractor</v>
      </c>
    </row>
    <row r="34" ht="14.25" customHeight="1" spans="1:19">
      <c r="A34" s="43" t="s">
        <v>74</v>
      </c>
      <c r="B34" s="43" t="s">
        <v>11</v>
      </c>
      <c r="C34" s="43" t="s">
        <v>22</v>
      </c>
      <c r="D34" s="44">
        <v>45957</v>
      </c>
      <c r="E34" s="44">
        <v>45961</v>
      </c>
      <c r="F34" s="44">
        <v>45966</v>
      </c>
      <c r="G34" s="44">
        <v>45970</v>
      </c>
      <c r="H34" s="45" t="str">
        <f t="shared" si="4"/>
        <v>Delivered</v>
      </c>
      <c r="I34" s="48">
        <f t="shared" si="0"/>
        <v>4</v>
      </c>
      <c r="J34" s="48">
        <f t="shared" si="1"/>
        <v>5</v>
      </c>
      <c r="K34" s="48">
        <f t="shared" si="2"/>
        <v>4</v>
      </c>
      <c r="L34" s="39" t="s">
        <v>9</v>
      </c>
      <c r="N34" s="44">
        <v>45984</v>
      </c>
      <c r="O34" s="39">
        <v>4</v>
      </c>
      <c r="P34" s="39">
        <v>5</v>
      </c>
      <c r="Q34" s="39">
        <v>4</v>
      </c>
      <c r="R34" s="39">
        <v>3</v>
      </c>
      <c r="S34" s="51" t="str">
        <f t="shared" si="3"/>
        <v>Detractor</v>
      </c>
    </row>
    <row r="35" ht="14.25" customHeight="1" spans="1:19">
      <c r="A35" s="43" t="s">
        <v>75</v>
      </c>
      <c r="B35" s="43" t="s">
        <v>13</v>
      </c>
      <c r="C35" s="43" t="s">
        <v>22</v>
      </c>
      <c r="D35" s="44">
        <v>45954</v>
      </c>
      <c r="E35" s="44">
        <v>45957</v>
      </c>
      <c r="F35" s="44">
        <v>45958</v>
      </c>
      <c r="G35" s="44">
        <v>45961</v>
      </c>
      <c r="H35" s="45" t="str">
        <f t="shared" si="4"/>
        <v>Delivered</v>
      </c>
      <c r="I35" s="48">
        <f t="shared" si="0"/>
        <v>3</v>
      </c>
      <c r="J35" s="48">
        <f t="shared" si="1"/>
        <v>1</v>
      </c>
      <c r="K35" s="48">
        <f t="shared" si="2"/>
        <v>3</v>
      </c>
      <c r="L35" s="39" t="s">
        <v>9</v>
      </c>
      <c r="N35" s="44">
        <v>45974</v>
      </c>
      <c r="O35" s="39">
        <v>3</v>
      </c>
      <c r="P35" s="39">
        <v>1</v>
      </c>
      <c r="Q35" s="39">
        <v>3</v>
      </c>
      <c r="R35" s="39">
        <v>3</v>
      </c>
      <c r="S35" s="51" t="str">
        <f t="shared" si="3"/>
        <v>Detractor</v>
      </c>
    </row>
    <row r="36" ht="14.25" customHeight="1" spans="1:19">
      <c r="A36" s="43" t="s">
        <v>76</v>
      </c>
      <c r="B36" s="43" t="s">
        <v>14</v>
      </c>
      <c r="C36" s="43" t="s">
        <v>20</v>
      </c>
      <c r="D36" s="44">
        <v>45949</v>
      </c>
      <c r="H36" s="45" t="str">
        <f t="shared" si="4"/>
        <v>Cancelled</v>
      </c>
      <c r="I36" s="48">
        <f t="shared" si="0"/>
        <v>0</v>
      </c>
      <c r="J36" s="48">
        <f t="shared" si="1"/>
        <v>0</v>
      </c>
      <c r="K36" s="48">
        <f t="shared" si="2"/>
        <v>0</v>
      </c>
      <c r="L36" s="39" t="s">
        <v>10</v>
      </c>
      <c r="M36" s="39" t="s">
        <v>44</v>
      </c>
      <c r="S36" s="51" t="str">
        <f t="shared" si="3"/>
        <v>Detractor</v>
      </c>
    </row>
    <row r="37" ht="14.25" customHeight="1" spans="1:19">
      <c r="A37" s="43" t="s">
        <v>77</v>
      </c>
      <c r="B37" s="43" t="s">
        <v>14</v>
      </c>
      <c r="C37" s="43" t="s">
        <v>22</v>
      </c>
      <c r="D37" s="44">
        <v>45939</v>
      </c>
      <c r="E37" s="44">
        <v>45943</v>
      </c>
      <c r="F37" s="44">
        <v>45945</v>
      </c>
      <c r="G37" s="44">
        <v>45950</v>
      </c>
      <c r="H37" s="45" t="str">
        <f t="shared" si="4"/>
        <v>Delivered</v>
      </c>
      <c r="I37" s="48">
        <f t="shared" si="0"/>
        <v>4</v>
      </c>
      <c r="J37" s="48">
        <f t="shared" si="1"/>
        <v>2</v>
      </c>
      <c r="K37" s="48">
        <f t="shared" si="2"/>
        <v>5</v>
      </c>
      <c r="L37" s="39" t="s">
        <v>9</v>
      </c>
      <c r="N37" s="44">
        <v>45976</v>
      </c>
      <c r="O37" s="39">
        <v>4</v>
      </c>
      <c r="P37" s="39">
        <v>2</v>
      </c>
      <c r="Q37" s="39">
        <v>5</v>
      </c>
      <c r="R37" s="39">
        <v>9</v>
      </c>
      <c r="S37" s="51" t="str">
        <f t="shared" si="3"/>
        <v>Promoter</v>
      </c>
    </row>
    <row r="38" ht="14.25" customHeight="1" spans="1:19">
      <c r="A38" s="43" t="s">
        <v>78</v>
      </c>
      <c r="B38" s="43" t="s">
        <v>11</v>
      </c>
      <c r="C38" s="43" t="s">
        <v>22</v>
      </c>
      <c r="D38" s="44">
        <v>45941</v>
      </c>
      <c r="E38" s="44">
        <v>45942</v>
      </c>
      <c r="F38" s="44">
        <v>45943</v>
      </c>
      <c r="G38" s="44">
        <v>45945</v>
      </c>
      <c r="H38" s="45" t="str">
        <f t="shared" si="4"/>
        <v>Delivered</v>
      </c>
      <c r="I38" s="48">
        <f t="shared" si="0"/>
        <v>1</v>
      </c>
      <c r="J38" s="48">
        <f t="shared" si="1"/>
        <v>1</v>
      </c>
      <c r="K38" s="48">
        <f t="shared" si="2"/>
        <v>2</v>
      </c>
      <c r="L38" s="39" t="s">
        <v>10</v>
      </c>
      <c r="M38" s="39" t="s">
        <v>79</v>
      </c>
      <c r="O38" s="39">
        <v>1</v>
      </c>
      <c r="P38" s="39">
        <v>1</v>
      </c>
      <c r="Q38" s="39">
        <v>2</v>
      </c>
      <c r="S38" s="51" t="str">
        <f t="shared" si="3"/>
        <v>Detractor</v>
      </c>
    </row>
    <row r="39" ht="14.25" customHeight="1" spans="1:19">
      <c r="A39" s="43" t="s">
        <v>80</v>
      </c>
      <c r="B39" s="43" t="s">
        <v>11</v>
      </c>
      <c r="C39" s="43" t="s">
        <v>22</v>
      </c>
      <c r="D39" s="44">
        <v>45958</v>
      </c>
      <c r="E39" s="44">
        <v>45961</v>
      </c>
      <c r="F39" s="44">
        <v>45965</v>
      </c>
      <c r="G39" s="44">
        <v>45969</v>
      </c>
      <c r="H39" s="45" t="str">
        <f t="shared" si="4"/>
        <v>Delivered</v>
      </c>
      <c r="I39" s="48">
        <f t="shared" si="0"/>
        <v>3</v>
      </c>
      <c r="J39" s="48">
        <f t="shared" si="1"/>
        <v>4</v>
      </c>
      <c r="K39" s="48">
        <f t="shared" si="2"/>
        <v>4</v>
      </c>
      <c r="L39" s="39" t="s">
        <v>9</v>
      </c>
      <c r="N39" s="44">
        <v>45990</v>
      </c>
      <c r="O39" s="39">
        <v>3</v>
      </c>
      <c r="P39" s="39">
        <v>4</v>
      </c>
      <c r="Q39" s="39">
        <v>4</v>
      </c>
      <c r="R39" s="39">
        <v>2</v>
      </c>
      <c r="S39" s="51" t="str">
        <f t="shared" si="3"/>
        <v>Detractor</v>
      </c>
    </row>
    <row r="40" ht="14.25" customHeight="1" spans="1:19">
      <c r="A40" s="43" t="s">
        <v>81</v>
      </c>
      <c r="B40" s="43" t="s">
        <v>11</v>
      </c>
      <c r="C40" s="43" t="s">
        <v>22</v>
      </c>
      <c r="D40" s="44">
        <v>45938</v>
      </c>
      <c r="E40" s="44">
        <v>45943</v>
      </c>
      <c r="F40" s="44">
        <v>45946</v>
      </c>
      <c r="G40" s="44">
        <v>45953</v>
      </c>
      <c r="H40" s="45" t="str">
        <f t="shared" si="4"/>
        <v>Delivered</v>
      </c>
      <c r="I40" s="48">
        <f t="shared" si="0"/>
        <v>5</v>
      </c>
      <c r="J40" s="48">
        <f t="shared" si="1"/>
        <v>3</v>
      </c>
      <c r="K40" s="48">
        <f t="shared" si="2"/>
        <v>7</v>
      </c>
      <c r="L40" s="39" t="s">
        <v>9</v>
      </c>
      <c r="N40" s="44">
        <v>45965</v>
      </c>
      <c r="O40" s="39">
        <v>5</v>
      </c>
      <c r="P40" s="39">
        <v>3</v>
      </c>
      <c r="Q40" s="39">
        <v>7</v>
      </c>
      <c r="R40" s="39">
        <v>9</v>
      </c>
      <c r="S40" s="51" t="str">
        <f t="shared" si="3"/>
        <v>Promoter</v>
      </c>
    </row>
    <row r="41" ht="14.25" customHeight="1" spans="1:19">
      <c r="A41" s="43" t="s">
        <v>82</v>
      </c>
      <c r="B41" s="43" t="s">
        <v>13</v>
      </c>
      <c r="C41" s="43" t="s">
        <v>22</v>
      </c>
      <c r="D41" s="44">
        <v>45957</v>
      </c>
      <c r="E41" s="44">
        <v>45960</v>
      </c>
      <c r="F41" s="44">
        <v>45964</v>
      </c>
      <c r="G41" s="44">
        <v>45969</v>
      </c>
      <c r="H41" s="45" t="str">
        <f t="shared" si="4"/>
        <v>Delivered</v>
      </c>
      <c r="I41" s="48">
        <f t="shared" si="0"/>
        <v>3</v>
      </c>
      <c r="J41" s="48">
        <f t="shared" si="1"/>
        <v>4</v>
      </c>
      <c r="K41" s="48">
        <f t="shared" si="2"/>
        <v>5</v>
      </c>
      <c r="L41" s="39" t="s">
        <v>10</v>
      </c>
      <c r="M41" s="39" t="s">
        <v>42</v>
      </c>
      <c r="O41" s="39">
        <v>3</v>
      </c>
      <c r="P41" s="39">
        <v>4</v>
      </c>
      <c r="Q41" s="39">
        <v>5</v>
      </c>
      <c r="S41" s="51" t="str">
        <f t="shared" si="3"/>
        <v>Detractor</v>
      </c>
    </row>
    <row r="42" ht="14.25" customHeight="1" spans="1:19">
      <c r="A42" s="43" t="s">
        <v>83</v>
      </c>
      <c r="B42" s="43" t="s">
        <v>11</v>
      </c>
      <c r="C42" s="43" t="s">
        <v>20</v>
      </c>
      <c r="D42" s="44">
        <v>45960</v>
      </c>
      <c r="H42" s="45" t="str">
        <f t="shared" si="4"/>
        <v>Cancelled</v>
      </c>
      <c r="I42" s="48">
        <f t="shared" si="0"/>
        <v>0</v>
      </c>
      <c r="J42" s="48">
        <f t="shared" si="1"/>
        <v>0</v>
      </c>
      <c r="K42" s="48">
        <f t="shared" si="2"/>
        <v>0</v>
      </c>
      <c r="L42" s="39" t="s">
        <v>10</v>
      </c>
      <c r="M42" s="39" t="s">
        <v>44</v>
      </c>
      <c r="S42" s="51" t="str">
        <f t="shared" si="3"/>
        <v>Detractor</v>
      </c>
    </row>
    <row r="43" ht="14.25" customHeight="1" spans="1:19">
      <c r="A43" s="43" t="s">
        <v>84</v>
      </c>
      <c r="B43" s="43" t="s">
        <v>14</v>
      </c>
      <c r="C43" s="43" t="s">
        <v>22</v>
      </c>
      <c r="D43" s="44">
        <v>45933</v>
      </c>
      <c r="E43" s="44">
        <v>45936</v>
      </c>
      <c r="F43" s="44">
        <v>45938</v>
      </c>
      <c r="G43" s="44">
        <v>45944</v>
      </c>
      <c r="H43" s="45" t="str">
        <f t="shared" si="4"/>
        <v>Delivered</v>
      </c>
      <c r="I43" s="48">
        <f t="shared" si="0"/>
        <v>3</v>
      </c>
      <c r="J43" s="48">
        <f t="shared" si="1"/>
        <v>2</v>
      </c>
      <c r="K43" s="48">
        <f t="shared" si="2"/>
        <v>6</v>
      </c>
      <c r="L43" s="39" t="s">
        <v>9</v>
      </c>
      <c r="N43" s="44">
        <v>45965</v>
      </c>
      <c r="O43" s="39">
        <v>3</v>
      </c>
      <c r="P43" s="39">
        <v>2</v>
      </c>
      <c r="Q43" s="39">
        <v>6</v>
      </c>
      <c r="R43" s="39">
        <v>6</v>
      </c>
      <c r="S43" s="51" t="str">
        <f t="shared" si="3"/>
        <v>Detractor</v>
      </c>
    </row>
    <row r="44" ht="14.25" customHeight="1" spans="1:19">
      <c r="A44" s="43" t="s">
        <v>85</v>
      </c>
      <c r="B44" s="43" t="s">
        <v>14</v>
      </c>
      <c r="C44" s="43" t="s">
        <v>22</v>
      </c>
      <c r="D44" s="44">
        <v>45939</v>
      </c>
      <c r="E44" s="44">
        <v>45940</v>
      </c>
      <c r="F44" s="44">
        <v>45944</v>
      </c>
      <c r="G44" s="44">
        <v>45951</v>
      </c>
      <c r="H44" s="45" t="str">
        <f t="shared" si="4"/>
        <v>Delivered</v>
      </c>
      <c r="I44" s="48">
        <f t="shared" si="0"/>
        <v>1</v>
      </c>
      <c r="J44" s="48">
        <f t="shared" si="1"/>
        <v>4</v>
      </c>
      <c r="K44" s="48">
        <f t="shared" si="2"/>
        <v>7</v>
      </c>
      <c r="L44" s="39" t="s">
        <v>9</v>
      </c>
      <c r="N44" s="44">
        <v>45973</v>
      </c>
      <c r="O44" s="39">
        <v>1</v>
      </c>
      <c r="P44" s="39">
        <v>4</v>
      </c>
      <c r="Q44" s="39">
        <v>7</v>
      </c>
      <c r="R44" s="39">
        <v>7</v>
      </c>
      <c r="S44" s="51" t="str">
        <f t="shared" si="3"/>
        <v>Passive</v>
      </c>
    </row>
    <row r="45" ht="14.25" customHeight="1" spans="1:19">
      <c r="A45" s="43" t="s">
        <v>86</v>
      </c>
      <c r="B45" s="43" t="s">
        <v>11</v>
      </c>
      <c r="C45" s="43" t="s">
        <v>20</v>
      </c>
      <c r="D45" s="44">
        <v>45959</v>
      </c>
      <c r="H45" s="45" t="str">
        <f t="shared" si="4"/>
        <v>Cancelled</v>
      </c>
      <c r="I45" s="48">
        <f t="shared" si="0"/>
        <v>0</v>
      </c>
      <c r="J45" s="48">
        <f t="shared" si="1"/>
        <v>0</v>
      </c>
      <c r="K45" s="48">
        <f t="shared" si="2"/>
        <v>0</v>
      </c>
      <c r="L45" s="39" t="s">
        <v>10</v>
      </c>
      <c r="M45" s="39" t="s">
        <v>49</v>
      </c>
      <c r="S45" s="51" t="str">
        <f t="shared" si="3"/>
        <v>Detractor</v>
      </c>
    </row>
    <row r="46" ht="14.25" customHeight="1" spans="1:19">
      <c r="A46" s="43" t="s">
        <v>87</v>
      </c>
      <c r="B46" s="43" t="s">
        <v>11</v>
      </c>
      <c r="C46" s="43" t="s">
        <v>21</v>
      </c>
      <c r="D46" s="44">
        <v>45945</v>
      </c>
      <c r="E46" s="44">
        <v>45950</v>
      </c>
      <c r="F46" s="44">
        <v>45952</v>
      </c>
      <c r="G46" s="44">
        <v>45956</v>
      </c>
      <c r="H46" s="45" t="str">
        <f t="shared" si="4"/>
        <v>Delivered</v>
      </c>
      <c r="I46" s="48">
        <f t="shared" si="0"/>
        <v>5</v>
      </c>
      <c r="J46" s="48">
        <f t="shared" si="1"/>
        <v>2</v>
      </c>
      <c r="K46" s="48">
        <f t="shared" si="2"/>
        <v>4</v>
      </c>
      <c r="L46" s="39" t="s">
        <v>9</v>
      </c>
      <c r="N46" s="44">
        <v>45984</v>
      </c>
      <c r="O46" s="39">
        <v>5</v>
      </c>
      <c r="P46" s="39">
        <v>2</v>
      </c>
      <c r="Q46" s="39">
        <v>4</v>
      </c>
      <c r="R46" s="39">
        <v>8</v>
      </c>
      <c r="S46" s="51" t="str">
        <f t="shared" si="3"/>
        <v>Passive</v>
      </c>
    </row>
    <row r="47" ht="14.25" customHeight="1" spans="1:19">
      <c r="A47" s="43" t="s">
        <v>88</v>
      </c>
      <c r="B47" s="43" t="s">
        <v>12</v>
      </c>
      <c r="C47" s="43" t="s">
        <v>21</v>
      </c>
      <c r="D47" s="44">
        <v>45938</v>
      </c>
      <c r="E47" s="44">
        <v>45943</v>
      </c>
      <c r="F47" s="44">
        <v>45947</v>
      </c>
      <c r="G47" s="44">
        <v>45953</v>
      </c>
      <c r="H47" s="45" t="str">
        <f t="shared" si="4"/>
        <v>Delivered</v>
      </c>
      <c r="I47" s="48">
        <f t="shared" si="0"/>
        <v>5</v>
      </c>
      <c r="J47" s="48">
        <f t="shared" si="1"/>
        <v>4</v>
      </c>
      <c r="K47" s="48">
        <f t="shared" si="2"/>
        <v>6</v>
      </c>
      <c r="L47" s="39" t="s">
        <v>9</v>
      </c>
      <c r="N47" s="44">
        <v>45966</v>
      </c>
      <c r="O47" s="39">
        <v>5</v>
      </c>
      <c r="P47" s="39">
        <v>4</v>
      </c>
      <c r="Q47" s="39">
        <v>6</v>
      </c>
      <c r="R47" s="39">
        <v>3</v>
      </c>
      <c r="S47" s="51" t="str">
        <f t="shared" si="3"/>
        <v>Detractor</v>
      </c>
    </row>
    <row r="48" ht="14.25" customHeight="1" spans="1:19">
      <c r="A48" s="43" t="s">
        <v>89</v>
      </c>
      <c r="B48" s="43" t="s">
        <v>14</v>
      </c>
      <c r="C48" s="43" t="s">
        <v>22</v>
      </c>
      <c r="D48" s="44">
        <v>45955</v>
      </c>
      <c r="E48" s="44">
        <v>45957</v>
      </c>
      <c r="F48" s="44">
        <v>45962</v>
      </c>
      <c r="G48" s="44">
        <v>45967</v>
      </c>
      <c r="H48" s="45" t="str">
        <f t="shared" si="4"/>
        <v>Delivered</v>
      </c>
      <c r="I48" s="48">
        <f t="shared" si="0"/>
        <v>2</v>
      </c>
      <c r="J48" s="48">
        <f t="shared" si="1"/>
        <v>5</v>
      </c>
      <c r="K48" s="48">
        <f t="shared" si="2"/>
        <v>5</v>
      </c>
      <c r="L48" s="39" t="s">
        <v>9</v>
      </c>
      <c r="N48" s="44">
        <v>45987</v>
      </c>
      <c r="O48" s="39">
        <v>2</v>
      </c>
      <c r="P48" s="39">
        <v>5</v>
      </c>
      <c r="Q48" s="39">
        <v>5</v>
      </c>
      <c r="R48" s="39">
        <v>5</v>
      </c>
      <c r="S48" s="51" t="str">
        <f t="shared" si="3"/>
        <v>Detractor</v>
      </c>
    </row>
    <row r="49" ht="14.25" customHeight="1" spans="1:19">
      <c r="A49" s="43" t="s">
        <v>90</v>
      </c>
      <c r="B49" s="43" t="s">
        <v>13</v>
      </c>
      <c r="C49" s="43" t="s">
        <v>20</v>
      </c>
      <c r="D49" s="44">
        <v>45945</v>
      </c>
      <c r="H49" s="45" t="str">
        <f t="shared" si="4"/>
        <v>Cancelled</v>
      </c>
      <c r="I49" s="48">
        <f t="shared" si="0"/>
        <v>0</v>
      </c>
      <c r="J49" s="48">
        <f t="shared" si="1"/>
        <v>0</v>
      </c>
      <c r="K49" s="48">
        <f t="shared" si="2"/>
        <v>0</v>
      </c>
      <c r="L49" s="39" t="s">
        <v>10</v>
      </c>
      <c r="M49" s="39" t="s">
        <v>44</v>
      </c>
      <c r="S49" s="51" t="str">
        <f t="shared" si="3"/>
        <v>Detractor</v>
      </c>
    </row>
    <row r="50" ht="14.25" customHeight="1" spans="1:19">
      <c r="A50" s="43" t="s">
        <v>91</v>
      </c>
      <c r="B50" s="43" t="s">
        <v>12</v>
      </c>
      <c r="C50" s="43" t="s">
        <v>21</v>
      </c>
      <c r="D50" s="44">
        <v>45949</v>
      </c>
      <c r="E50" s="44">
        <v>45951</v>
      </c>
      <c r="F50" s="44">
        <v>45956</v>
      </c>
      <c r="G50" s="44">
        <v>45962</v>
      </c>
      <c r="H50" s="45" t="str">
        <f t="shared" si="4"/>
        <v>Delivered</v>
      </c>
      <c r="I50" s="48">
        <f t="shared" si="0"/>
        <v>2</v>
      </c>
      <c r="J50" s="48">
        <f t="shared" si="1"/>
        <v>5</v>
      </c>
      <c r="K50" s="48">
        <f t="shared" si="2"/>
        <v>6</v>
      </c>
      <c r="L50" s="39" t="s">
        <v>9</v>
      </c>
      <c r="N50" s="44">
        <v>45981</v>
      </c>
      <c r="O50" s="39">
        <v>2</v>
      </c>
      <c r="P50" s="39">
        <v>5</v>
      </c>
      <c r="Q50" s="39">
        <v>6</v>
      </c>
      <c r="R50" s="39">
        <v>0</v>
      </c>
      <c r="S50" s="51" t="str">
        <f t="shared" si="3"/>
        <v>Detractor</v>
      </c>
    </row>
    <row r="51" ht="14.25" customHeight="1" spans="1:19">
      <c r="A51" s="43" t="s">
        <v>92</v>
      </c>
      <c r="B51" s="43" t="s">
        <v>11</v>
      </c>
      <c r="C51" s="43" t="s">
        <v>21</v>
      </c>
      <c r="D51" s="44">
        <v>45950</v>
      </c>
      <c r="E51" s="44">
        <v>45954</v>
      </c>
      <c r="F51" s="44">
        <v>45958</v>
      </c>
      <c r="G51" s="44">
        <v>45963</v>
      </c>
      <c r="H51" s="45" t="str">
        <f t="shared" si="4"/>
        <v>Delivered</v>
      </c>
      <c r="I51" s="48">
        <f t="shared" si="0"/>
        <v>4</v>
      </c>
      <c r="J51" s="48">
        <f t="shared" si="1"/>
        <v>4</v>
      </c>
      <c r="K51" s="48">
        <f t="shared" si="2"/>
        <v>5</v>
      </c>
      <c r="L51" s="39" t="s">
        <v>9</v>
      </c>
      <c r="N51" s="44">
        <v>45983</v>
      </c>
      <c r="O51" s="39">
        <v>4</v>
      </c>
      <c r="P51" s="39">
        <v>4</v>
      </c>
      <c r="Q51" s="39">
        <v>5</v>
      </c>
      <c r="R51" s="39">
        <v>6</v>
      </c>
      <c r="S51" s="51" t="str">
        <f t="shared" si="3"/>
        <v>Detractor</v>
      </c>
    </row>
    <row r="52" ht="14.25" customHeight="1" spans="1:19">
      <c r="A52" s="43" t="s">
        <v>93</v>
      </c>
      <c r="B52" s="43" t="s">
        <v>11</v>
      </c>
      <c r="C52" s="43" t="s">
        <v>21</v>
      </c>
      <c r="D52" s="44">
        <v>45952</v>
      </c>
      <c r="E52" s="44">
        <v>45954</v>
      </c>
      <c r="F52" s="44">
        <v>45955</v>
      </c>
      <c r="G52" s="44">
        <v>45961</v>
      </c>
      <c r="H52" s="45" t="str">
        <f t="shared" si="4"/>
        <v>Delivered</v>
      </c>
      <c r="I52" s="48">
        <f t="shared" si="0"/>
        <v>2</v>
      </c>
      <c r="J52" s="48">
        <f t="shared" si="1"/>
        <v>1</v>
      </c>
      <c r="K52" s="48">
        <f t="shared" si="2"/>
        <v>6</v>
      </c>
      <c r="L52" s="39" t="s">
        <v>9</v>
      </c>
      <c r="N52" s="44">
        <v>45975</v>
      </c>
      <c r="O52" s="39">
        <v>2</v>
      </c>
      <c r="P52" s="39">
        <v>1</v>
      </c>
      <c r="Q52" s="39">
        <v>6</v>
      </c>
      <c r="R52" s="39">
        <v>6</v>
      </c>
      <c r="S52" s="51" t="str">
        <f t="shared" si="3"/>
        <v>Detractor</v>
      </c>
    </row>
    <row r="53" ht="14.25" customHeight="1" spans="1:19">
      <c r="A53" s="43" t="s">
        <v>94</v>
      </c>
      <c r="B53" s="43" t="s">
        <v>14</v>
      </c>
      <c r="C53" s="43" t="s">
        <v>21</v>
      </c>
      <c r="D53" s="44">
        <v>45943</v>
      </c>
      <c r="E53" s="44">
        <v>45944</v>
      </c>
      <c r="F53" s="44">
        <v>45946</v>
      </c>
      <c r="G53" s="44">
        <v>45948</v>
      </c>
      <c r="H53" s="45" t="str">
        <f t="shared" si="4"/>
        <v>Delivered</v>
      </c>
      <c r="I53" s="48">
        <f t="shared" si="0"/>
        <v>1</v>
      </c>
      <c r="J53" s="48">
        <f t="shared" si="1"/>
        <v>2</v>
      </c>
      <c r="K53" s="48">
        <f t="shared" si="2"/>
        <v>2</v>
      </c>
      <c r="L53" s="39" t="s">
        <v>9</v>
      </c>
      <c r="N53" s="44">
        <v>45963</v>
      </c>
      <c r="O53" s="39">
        <v>1</v>
      </c>
      <c r="P53" s="39">
        <v>2</v>
      </c>
      <c r="Q53" s="39">
        <v>2</v>
      </c>
      <c r="R53" s="39">
        <v>6</v>
      </c>
      <c r="S53" s="51" t="str">
        <f t="shared" si="3"/>
        <v>Detractor</v>
      </c>
    </row>
    <row r="54" ht="14.25" customHeight="1" spans="1:19">
      <c r="A54" s="43" t="s">
        <v>95</v>
      </c>
      <c r="B54" s="43" t="s">
        <v>11</v>
      </c>
      <c r="C54" s="43" t="s">
        <v>21</v>
      </c>
      <c r="D54" s="44">
        <v>45941</v>
      </c>
      <c r="E54" s="44">
        <v>45944</v>
      </c>
      <c r="F54" s="44">
        <v>45949</v>
      </c>
      <c r="G54" s="44">
        <v>45953</v>
      </c>
      <c r="H54" s="45" t="str">
        <f t="shared" si="4"/>
        <v>Delivered</v>
      </c>
      <c r="I54" s="48">
        <f t="shared" si="0"/>
        <v>3</v>
      </c>
      <c r="J54" s="48">
        <f t="shared" si="1"/>
        <v>5</v>
      </c>
      <c r="K54" s="48">
        <f t="shared" si="2"/>
        <v>4</v>
      </c>
      <c r="L54" s="39" t="s">
        <v>9</v>
      </c>
      <c r="N54" s="44">
        <v>45976</v>
      </c>
      <c r="O54" s="39">
        <v>3</v>
      </c>
      <c r="P54" s="39">
        <v>5</v>
      </c>
      <c r="Q54" s="39">
        <v>4</v>
      </c>
      <c r="R54" s="39">
        <v>4</v>
      </c>
      <c r="S54" s="51" t="str">
        <f t="shared" si="3"/>
        <v>Detractor</v>
      </c>
    </row>
    <row r="55" ht="14.25" customHeight="1" spans="1:19">
      <c r="A55" s="43" t="s">
        <v>96</v>
      </c>
      <c r="B55" s="43" t="s">
        <v>13</v>
      </c>
      <c r="C55" s="43" t="s">
        <v>22</v>
      </c>
      <c r="D55" s="44">
        <v>45931</v>
      </c>
      <c r="E55" s="44">
        <v>45936</v>
      </c>
      <c r="F55" s="44">
        <v>45938</v>
      </c>
      <c r="G55" s="44">
        <v>45942</v>
      </c>
      <c r="H55" s="45" t="str">
        <f t="shared" si="4"/>
        <v>Delivered</v>
      </c>
      <c r="I55" s="48">
        <f t="shared" si="0"/>
        <v>5</v>
      </c>
      <c r="J55" s="48">
        <f t="shared" si="1"/>
        <v>2</v>
      </c>
      <c r="K55" s="48">
        <f t="shared" si="2"/>
        <v>4</v>
      </c>
      <c r="L55" s="39" t="s">
        <v>9</v>
      </c>
      <c r="N55" s="44">
        <v>45972</v>
      </c>
      <c r="O55" s="39">
        <v>5</v>
      </c>
      <c r="P55" s="39">
        <v>2</v>
      </c>
      <c r="Q55" s="39">
        <v>4</v>
      </c>
      <c r="R55" s="39">
        <v>4</v>
      </c>
      <c r="S55" s="51" t="str">
        <f t="shared" si="3"/>
        <v>Detractor</v>
      </c>
    </row>
    <row r="56" ht="14.25" customHeight="1" spans="1:19">
      <c r="A56" s="43" t="s">
        <v>97</v>
      </c>
      <c r="B56" s="43" t="s">
        <v>14</v>
      </c>
      <c r="C56" s="43" t="s">
        <v>22</v>
      </c>
      <c r="D56" s="44">
        <v>45946</v>
      </c>
      <c r="E56" s="44">
        <v>45949</v>
      </c>
      <c r="F56" s="44">
        <v>45954</v>
      </c>
      <c r="G56" s="44">
        <v>45959</v>
      </c>
      <c r="H56" s="45" t="str">
        <f t="shared" si="4"/>
        <v>Delivered</v>
      </c>
      <c r="I56" s="48">
        <f t="shared" si="0"/>
        <v>3</v>
      </c>
      <c r="J56" s="48">
        <f t="shared" si="1"/>
        <v>5</v>
      </c>
      <c r="K56" s="48">
        <f t="shared" si="2"/>
        <v>5</v>
      </c>
      <c r="L56" s="39" t="s">
        <v>9</v>
      </c>
      <c r="N56" s="44">
        <v>45984</v>
      </c>
      <c r="O56" s="39">
        <v>3</v>
      </c>
      <c r="P56" s="39">
        <v>5</v>
      </c>
      <c r="Q56" s="39">
        <v>5</v>
      </c>
      <c r="R56" s="39">
        <v>8</v>
      </c>
      <c r="S56" s="51" t="str">
        <f t="shared" si="3"/>
        <v>Passive</v>
      </c>
    </row>
    <row r="57" ht="14.25" customHeight="1" spans="1:19">
      <c r="A57" s="43" t="s">
        <v>98</v>
      </c>
      <c r="B57" s="43" t="s">
        <v>11</v>
      </c>
      <c r="C57" s="43" t="s">
        <v>21</v>
      </c>
      <c r="D57" s="44">
        <v>45958</v>
      </c>
      <c r="E57" s="44">
        <v>45959</v>
      </c>
      <c r="F57" s="44">
        <v>45962</v>
      </c>
      <c r="G57" s="44">
        <v>45968</v>
      </c>
      <c r="H57" s="45" t="str">
        <f t="shared" si="4"/>
        <v>Delivered</v>
      </c>
      <c r="I57" s="48">
        <f t="shared" si="0"/>
        <v>1</v>
      </c>
      <c r="J57" s="48">
        <f t="shared" si="1"/>
        <v>3</v>
      </c>
      <c r="K57" s="48">
        <f t="shared" si="2"/>
        <v>6</v>
      </c>
      <c r="L57" s="39" t="s">
        <v>9</v>
      </c>
      <c r="N57" s="44">
        <v>45998</v>
      </c>
      <c r="O57" s="39">
        <v>1</v>
      </c>
      <c r="P57" s="39">
        <v>3</v>
      </c>
      <c r="Q57" s="39">
        <v>6</v>
      </c>
      <c r="R57" s="39">
        <v>3</v>
      </c>
      <c r="S57" s="51" t="str">
        <f t="shared" si="3"/>
        <v>Detractor</v>
      </c>
    </row>
    <row r="58" ht="14.25" customHeight="1" spans="1:19">
      <c r="A58" s="43" t="s">
        <v>99</v>
      </c>
      <c r="B58" s="43" t="s">
        <v>14</v>
      </c>
      <c r="C58" s="43" t="s">
        <v>22</v>
      </c>
      <c r="D58" s="44">
        <v>45941</v>
      </c>
      <c r="E58" s="44">
        <v>45944</v>
      </c>
      <c r="F58" s="44">
        <v>45948</v>
      </c>
      <c r="G58" s="44">
        <v>45951</v>
      </c>
      <c r="H58" s="45" t="str">
        <f t="shared" si="4"/>
        <v>Delivered</v>
      </c>
      <c r="I58" s="48">
        <f t="shared" si="0"/>
        <v>3</v>
      </c>
      <c r="J58" s="48">
        <f t="shared" si="1"/>
        <v>4</v>
      </c>
      <c r="K58" s="48">
        <f t="shared" si="2"/>
        <v>3</v>
      </c>
      <c r="L58" s="39" t="s">
        <v>9</v>
      </c>
      <c r="N58" s="44">
        <v>45971</v>
      </c>
      <c r="O58" s="39">
        <v>3</v>
      </c>
      <c r="P58" s="39">
        <v>4</v>
      </c>
      <c r="Q58" s="39">
        <v>3</v>
      </c>
      <c r="R58" s="39">
        <v>6</v>
      </c>
      <c r="S58" s="51" t="str">
        <f t="shared" si="3"/>
        <v>Detractor</v>
      </c>
    </row>
    <row r="59" ht="14.25" customHeight="1" spans="1:19">
      <c r="A59" s="43" t="s">
        <v>100</v>
      </c>
      <c r="B59" s="43" t="s">
        <v>11</v>
      </c>
      <c r="C59" s="43" t="s">
        <v>21</v>
      </c>
      <c r="D59" s="44">
        <v>45936</v>
      </c>
      <c r="E59" s="44">
        <v>45941</v>
      </c>
      <c r="F59" s="44">
        <v>45946</v>
      </c>
      <c r="G59" s="44">
        <v>45953</v>
      </c>
      <c r="H59" s="45" t="str">
        <f t="shared" si="4"/>
        <v>Delivered</v>
      </c>
      <c r="I59" s="48">
        <f t="shared" si="0"/>
        <v>5</v>
      </c>
      <c r="J59" s="48">
        <f t="shared" si="1"/>
        <v>5</v>
      </c>
      <c r="K59" s="48">
        <f t="shared" si="2"/>
        <v>7</v>
      </c>
      <c r="L59" s="39" t="s">
        <v>9</v>
      </c>
      <c r="N59" s="44">
        <v>45968</v>
      </c>
      <c r="O59" s="39">
        <v>5</v>
      </c>
      <c r="P59" s="39">
        <v>5</v>
      </c>
      <c r="Q59" s="39">
        <v>7</v>
      </c>
      <c r="R59" s="39">
        <v>1</v>
      </c>
      <c r="S59" s="51" t="str">
        <f t="shared" si="3"/>
        <v>Detractor</v>
      </c>
    </row>
    <row r="60" ht="14.25" customHeight="1" spans="1:19">
      <c r="A60" s="43" t="s">
        <v>101</v>
      </c>
      <c r="B60" s="43" t="s">
        <v>11</v>
      </c>
      <c r="C60" s="43" t="s">
        <v>22</v>
      </c>
      <c r="D60" s="44">
        <v>45946</v>
      </c>
      <c r="E60" s="44">
        <v>45948</v>
      </c>
      <c r="F60" s="44">
        <v>45952</v>
      </c>
      <c r="G60" s="44">
        <v>45959</v>
      </c>
      <c r="H60" s="45" t="str">
        <f t="shared" si="4"/>
        <v>Delivered</v>
      </c>
      <c r="I60" s="48">
        <f t="shared" si="0"/>
        <v>2</v>
      </c>
      <c r="J60" s="48">
        <f t="shared" si="1"/>
        <v>4</v>
      </c>
      <c r="K60" s="48">
        <f t="shared" si="2"/>
        <v>7</v>
      </c>
      <c r="L60" s="39" t="s">
        <v>10</v>
      </c>
      <c r="M60" s="39" t="s">
        <v>79</v>
      </c>
      <c r="O60" s="39">
        <v>2</v>
      </c>
      <c r="P60" s="39">
        <v>4</v>
      </c>
      <c r="Q60" s="39">
        <v>7</v>
      </c>
      <c r="S60" s="51" t="str">
        <f t="shared" si="3"/>
        <v>Detractor</v>
      </c>
    </row>
    <row r="61" ht="14.25" customHeight="1" spans="1:19">
      <c r="A61" s="43" t="s">
        <v>102</v>
      </c>
      <c r="B61" s="43" t="s">
        <v>11</v>
      </c>
      <c r="C61" s="43" t="s">
        <v>22</v>
      </c>
      <c r="D61" s="44">
        <v>45937</v>
      </c>
      <c r="E61" s="44">
        <v>45941</v>
      </c>
      <c r="F61" s="44">
        <v>45944</v>
      </c>
      <c r="G61" s="44">
        <v>45948</v>
      </c>
      <c r="H61" s="45" t="str">
        <f t="shared" si="4"/>
        <v>Delivered</v>
      </c>
      <c r="I61" s="48">
        <f t="shared" si="0"/>
        <v>4</v>
      </c>
      <c r="J61" s="48">
        <f t="shared" si="1"/>
        <v>3</v>
      </c>
      <c r="K61" s="48">
        <f t="shared" si="2"/>
        <v>4</v>
      </c>
      <c r="L61" s="39" t="s">
        <v>9</v>
      </c>
      <c r="N61" s="44">
        <v>45975</v>
      </c>
      <c r="O61" s="39">
        <v>4</v>
      </c>
      <c r="P61" s="39">
        <v>3</v>
      </c>
      <c r="Q61" s="39">
        <v>4</v>
      </c>
      <c r="R61" s="39">
        <v>2</v>
      </c>
      <c r="S61" s="51" t="str">
        <f t="shared" si="3"/>
        <v>Detractor</v>
      </c>
    </row>
    <row r="62" ht="14.25" customHeight="1" spans="1:19">
      <c r="A62" s="43" t="s">
        <v>103</v>
      </c>
      <c r="B62" s="43" t="s">
        <v>13</v>
      </c>
      <c r="C62" s="43" t="s">
        <v>22</v>
      </c>
      <c r="D62" s="44">
        <v>45942</v>
      </c>
      <c r="E62" s="44">
        <v>45947</v>
      </c>
      <c r="F62" s="44">
        <v>45949</v>
      </c>
      <c r="G62" s="44">
        <v>45955</v>
      </c>
      <c r="H62" s="45" t="str">
        <f t="shared" si="4"/>
        <v>Delivered</v>
      </c>
      <c r="I62" s="48">
        <f t="shared" si="0"/>
        <v>5</v>
      </c>
      <c r="J62" s="48">
        <f t="shared" si="1"/>
        <v>2</v>
      </c>
      <c r="K62" s="48">
        <f t="shared" si="2"/>
        <v>6</v>
      </c>
      <c r="L62" s="39" t="s">
        <v>9</v>
      </c>
      <c r="N62" s="44">
        <v>45984</v>
      </c>
      <c r="O62" s="39">
        <v>5</v>
      </c>
      <c r="P62" s="39">
        <v>2</v>
      </c>
      <c r="Q62" s="39">
        <v>6</v>
      </c>
      <c r="R62" s="39">
        <v>7</v>
      </c>
      <c r="S62" s="51" t="str">
        <f t="shared" si="3"/>
        <v>Passive</v>
      </c>
    </row>
    <row r="63" ht="14.25" customHeight="1" spans="1:19">
      <c r="A63" s="43" t="s">
        <v>104</v>
      </c>
      <c r="B63" s="43" t="s">
        <v>13</v>
      </c>
      <c r="C63" s="43" t="s">
        <v>21</v>
      </c>
      <c r="D63" s="44">
        <v>45956</v>
      </c>
      <c r="E63" s="44">
        <v>45961</v>
      </c>
      <c r="F63" s="44">
        <v>45965</v>
      </c>
      <c r="G63" s="44">
        <v>45971</v>
      </c>
      <c r="H63" s="45" t="str">
        <f t="shared" si="4"/>
        <v>Delivered</v>
      </c>
      <c r="I63" s="48">
        <f t="shared" si="0"/>
        <v>5</v>
      </c>
      <c r="J63" s="48">
        <f t="shared" si="1"/>
        <v>4</v>
      </c>
      <c r="K63" s="48">
        <f t="shared" si="2"/>
        <v>6</v>
      </c>
      <c r="L63" s="39" t="s">
        <v>9</v>
      </c>
      <c r="N63" s="44">
        <v>45992</v>
      </c>
      <c r="O63" s="39">
        <v>5</v>
      </c>
      <c r="P63" s="39">
        <v>4</v>
      </c>
      <c r="Q63" s="39">
        <v>6</v>
      </c>
      <c r="R63" s="39">
        <v>9</v>
      </c>
      <c r="S63" s="51" t="str">
        <f t="shared" si="3"/>
        <v>Promoter</v>
      </c>
    </row>
    <row r="64" ht="14.25" customHeight="1" spans="1:19">
      <c r="A64" s="43" t="s">
        <v>105</v>
      </c>
      <c r="B64" s="43" t="s">
        <v>14</v>
      </c>
      <c r="C64" s="43" t="s">
        <v>22</v>
      </c>
      <c r="D64" s="44">
        <v>45939</v>
      </c>
      <c r="E64" s="44">
        <v>45944</v>
      </c>
      <c r="F64" s="44">
        <v>45949</v>
      </c>
      <c r="G64" s="44">
        <v>45951</v>
      </c>
      <c r="H64" s="45" t="str">
        <f t="shared" si="4"/>
        <v>Delivered</v>
      </c>
      <c r="I64" s="48">
        <f t="shared" si="0"/>
        <v>5</v>
      </c>
      <c r="J64" s="48">
        <f t="shared" si="1"/>
        <v>5</v>
      </c>
      <c r="K64" s="48">
        <f t="shared" si="2"/>
        <v>2</v>
      </c>
      <c r="L64" s="39" t="s">
        <v>9</v>
      </c>
      <c r="N64" s="44">
        <v>45968</v>
      </c>
      <c r="O64" s="39">
        <v>5</v>
      </c>
      <c r="P64" s="39">
        <v>5</v>
      </c>
      <c r="Q64" s="39">
        <v>2</v>
      </c>
      <c r="R64" s="39">
        <v>3</v>
      </c>
      <c r="S64" s="51" t="str">
        <f t="shared" si="3"/>
        <v>Detractor</v>
      </c>
    </row>
    <row r="65" ht="14.25" customHeight="1" spans="1:19">
      <c r="A65" s="43" t="s">
        <v>106</v>
      </c>
      <c r="B65" s="43" t="s">
        <v>11</v>
      </c>
      <c r="C65" s="43" t="s">
        <v>21</v>
      </c>
      <c r="D65" s="44">
        <v>45941</v>
      </c>
      <c r="E65" s="44">
        <v>45946</v>
      </c>
      <c r="F65" s="44">
        <v>45949</v>
      </c>
      <c r="G65" s="44">
        <v>45956</v>
      </c>
      <c r="H65" s="45" t="str">
        <f t="shared" si="4"/>
        <v>Delivered</v>
      </c>
      <c r="I65" s="48">
        <f t="shared" si="0"/>
        <v>5</v>
      </c>
      <c r="J65" s="48">
        <f t="shared" si="1"/>
        <v>3</v>
      </c>
      <c r="K65" s="48">
        <f t="shared" si="2"/>
        <v>7</v>
      </c>
      <c r="L65" s="39" t="s">
        <v>9</v>
      </c>
      <c r="N65" s="44">
        <v>45984</v>
      </c>
      <c r="O65" s="39">
        <v>5</v>
      </c>
      <c r="P65" s="39">
        <v>3</v>
      </c>
      <c r="Q65" s="39">
        <v>7</v>
      </c>
      <c r="R65" s="39">
        <v>3</v>
      </c>
      <c r="S65" s="51" t="str">
        <f t="shared" si="3"/>
        <v>Detractor</v>
      </c>
    </row>
    <row r="66" ht="14.25" customHeight="1" spans="1:19">
      <c r="A66" s="43" t="s">
        <v>107</v>
      </c>
      <c r="B66" s="43" t="s">
        <v>11</v>
      </c>
      <c r="C66" s="43" t="s">
        <v>20</v>
      </c>
      <c r="D66" s="44">
        <v>45939</v>
      </c>
      <c r="H66" s="45" t="str">
        <f t="shared" si="4"/>
        <v>Cancelled</v>
      </c>
      <c r="I66" s="48">
        <f t="shared" si="0"/>
        <v>0</v>
      </c>
      <c r="J66" s="48">
        <f t="shared" si="1"/>
        <v>0</v>
      </c>
      <c r="K66" s="48">
        <f t="shared" si="2"/>
        <v>0</v>
      </c>
      <c r="L66" s="39" t="s">
        <v>10</v>
      </c>
      <c r="M66" s="39" t="s">
        <v>42</v>
      </c>
      <c r="S66" s="51" t="str">
        <f t="shared" si="3"/>
        <v>Detractor</v>
      </c>
    </row>
    <row r="67" ht="14.25" customHeight="1" spans="1:19">
      <c r="A67" s="43" t="s">
        <v>108</v>
      </c>
      <c r="B67" s="43" t="s">
        <v>13</v>
      </c>
      <c r="C67" s="43" t="s">
        <v>22</v>
      </c>
      <c r="D67" s="44">
        <v>45959</v>
      </c>
      <c r="E67" s="44">
        <v>45960</v>
      </c>
      <c r="F67" s="44">
        <v>45965</v>
      </c>
      <c r="G67" s="44">
        <v>45968</v>
      </c>
      <c r="H67" s="45" t="str">
        <f t="shared" si="4"/>
        <v>Delivered</v>
      </c>
      <c r="I67" s="48">
        <f t="shared" ref="I67:I130" si="5">IF(E67&gt;D67,E67-D67,0)</f>
        <v>1</v>
      </c>
      <c r="J67" s="48">
        <f t="shared" ref="J67:J130" si="6">IF(F67&gt;E67,F67-E67,0)</f>
        <v>5</v>
      </c>
      <c r="K67" s="48">
        <f t="shared" ref="K67:K130" si="7">IF(G67&gt;F67,G67-F67,0)</f>
        <v>3</v>
      </c>
      <c r="L67" s="39" t="s">
        <v>9</v>
      </c>
      <c r="N67" s="44">
        <v>45983</v>
      </c>
      <c r="O67" s="39">
        <v>1</v>
      </c>
      <c r="P67" s="39">
        <v>5</v>
      </c>
      <c r="Q67" s="39">
        <v>3</v>
      </c>
      <c r="R67" s="39">
        <v>10</v>
      </c>
      <c r="S67" s="51" t="str">
        <f t="shared" ref="S67:S130" si="8">IF(R67&gt;=9,"Promoter",IF(R67&gt;=7,"Passive","Detractor"))</f>
        <v>Promoter</v>
      </c>
    </row>
    <row r="68" ht="14.25" customHeight="1" spans="1:19">
      <c r="A68" s="43" t="s">
        <v>109</v>
      </c>
      <c r="B68" s="43" t="s">
        <v>11</v>
      </c>
      <c r="C68" s="43" t="s">
        <v>22</v>
      </c>
      <c r="D68" s="44">
        <v>45950</v>
      </c>
      <c r="E68" s="44">
        <v>45955</v>
      </c>
      <c r="F68" s="44">
        <v>45958</v>
      </c>
      <c r="G68" s="44">
        <v>45962</v>
      </c>
      <c r="H68" s="45" t="str">
        <f t="shared" si="4"/>
        <v>Delivered</v>
      </c>
      <c r="I68" s="48">
        <f t="shared" si="5"/>
        <v>5</v>
      </c>
      <c r="J68" s="48">
        <f t="shared" si="6"/>
        <v>3</v>
      </c>
      <c r="K68" s="48">
        <f t="shared" si="7"/>
        <v>4</v>
      </c>
      <c r="L68" s="39" t="s">
        <v>9</v>
      </c>
      <c r="N68" s="44">
        <v>45984</v>
      </c>
      <c r="O68" s="39">
        <v>5</v>
      </c>
      <c r="P68" s="39">
        <v>3</v>
      </c>
      <c r="Q68" s="39">
        <v>4</v>
      </c>
      <c r="R68" s="39">
        <v>4</v>
      </c>
      <c r="S68" s="51" t="str">
        <f t="shared" si="8"/>
        <v>Detractor</v>
      </c>
    </row>
    <row r="69" ht="14.25" customHeight="1" spans="1:19">
      <c r="A69" s="43" t="s">
        <v>110</v>
      </c>
      <c r="B69" s="43" t="s">
        <v>13</v>
      </c>
      <c r="C69" s="43" t="s">
        <v>21</v>
      </c>
      <c r="D69" s="44">
        <v>45953</v>
      </c>
      <c r="E69" s="44">
        <v>45956</v>
      </c>
      <c r="F69" s="44">
        <v>45959</v>
      </c>
      <c r="G69" s="44">
        <v>45961</v>
      </c>
      <c r="H69" s="45" t="str">
        <f t="shared" ref="H69:H132" si="9">IF(G69&lt;&gt;"","Delivered",IF(F69&lt;&gt;"","Booked",IF(E69&lt;&gt;"","Pre-Booked",IF(D69&lt;&gt;"","Cancelled",""))))</f>
        <v>Delivered</v>
      </c>
      <c r="I69" s="48">
        <f t="shared" si="5"/>
        <v>3</v>
      </c>
      <c r="J69" s="48">
        <f t="shared" si="6"/>
        <v>3</v>
      </c>
      <c r="K69" s="48">
        <f t="shared" si="7"/>
        <v>2</v>
      </c>
      <c r="L69" s="39" t="s">
        <v>9</v>
      </c>
      <c r="N69" s="44">
        <v>45980</v>
      </c>
      <c r="O69" s="39">
        <v>3</v>
      </c>
      <c r="P69" s="39">
        <v>3</v>
      </c>
      <c r="Q69" s="39">
        <v>2</v>
      </c>
      <c r="R69" s="39">
        <v>5</v>
      </c>
      <c r="S69" s="51" t="str">
        <f t="shared" si="8"/>
        <v>Detractor</v>
      </c>
    </row>
    <row r="70" ht="14.25" customHeight="1" spans="1:19">
      <c r="A70" s="43" t="s">
        <v>111</v>
      </c>
      <c r="B70" s="43" t="s">
        <v>11</v>
      </c>
      <c r="C70" s="43" t="s">
        <v>20</v>
      </c>
      <c r="D70" s="44">
        <v>45959</v>
      </c>
      <c r="H70" s="45" t="str">
        <f t="shared" si="9"/>
        <v>Cancelled</v>
      </c>
      <c r="I70" s="48">
        <f t="shared" si="5"/>
        <v>0</v>
      </c>
      <c r="J70" s="48">
        <f t="shared" si="6"/>
        <v>0</v>
      </c>
      <c r="K70" s="48">
        <f t="shared" si="7"/>
        <v>0</v>
      </c>
      <c r="L70" s="39" t="s">
        <v>10</v>
      </c>
      <c r="M70" s="39" t="s">
        <v>79</v>
      </c>
      <c r="S70" s="51" t="str">
        <f t="shared" si="8"/>
        <v>Detractor</v>
      </c>
    </row>
    <row r="71" ht="14.25" customHeight="1" spans="1:19">
      <c r="A71" s="43" t="s">
        <v>112</v>
      </c>
      <c r="B71" s="43" t="s">
        <v>14</v>
      </c>
      <c r="C71" s="43" t="s">
        <v>21</v>
      </c>
      <c r="D71" s="44">
        <v>45939</v>
      </c>
      <c r="E71" s="44">
        <v>45940</v>
      </c>
      <c r="F71" s="44">
        <v>45945</v>
      </c>
      <c r="G71" s="44">
        <v>45948</v>
      </c>
      <c r="H71" s="45" t="str">
        <f t="shared" si="9"/>
        <v>Delivered</v>
      </c>
      <c r="I71" s="48">
        <f t="shared" si="5"/>
        <v>1</v>
      </c>
      <c r="J71" s="48">
        <f t="shared" si="6"/>
        <v>5</v>
      </c>
      <c r="K71" s="48">
        <f t="shared" si="7"/>
        <v>3</v>
      </c>
      <c r="L71" s="39" t="s">
        <v>9</v>
      </c>
      <c r="N71" s="44">
        <v>45967</v>
      </c>
      <c r="O71" s="39">
        <v>1</v>
      </c>
      <c r="P71" s="39">
        <v>5</v>
      </c>
      <c r="Q71" s="39">
        <v>3</v>
      </c>
      <c r="R71" s="39">
        <v>1</v>
      </c>
      <c r="S71" s="51" t="str">
        <f t="shared" si="8"/>
        <v>Detractor</v>
      </c>
    </row>
    <row r="72" ht="14.25" customHeight="1" spans="1:19">
      <c r="A72" s="43" t="s">
        <v>113</v>
      </c>
      <c r="B72" s="43" t="s">
        <v>11</v>
      </c>
      <c r="C72" s="43" t="s">
        <v>21</v>
      </c>
      <c r="D72" s="44">
        <v>45948</v>
      </c>
      <c r="E72" s="44">
        <v>45950</v>
      </c>
      <c r="F72" s="44">
        <v>45954</v>
      </c>
      <c r="G72" s="44">
        <v>45958</v>
      </c>
      <c r="H72" s="45" t="str">
        <f t="shared" si="9"/>
        <v>Delivered</v>
      </c>
      <c r="I72" s="48">
        <f t="shared" si="5"/>
        <v>2</v>
      </c>
      <c r="J72" s="48">
        <f t="shared" si="6"/>
        <v>4</v>
      </c>
      <c r="K72" s="48">
        <f t="shared" si="7"/>
        <v>4</v>
      </c>
      <c r="L72" s="39" t="s">
        <v>9</v>
      </c>
      <c r="N72" s="44">
        <v>45972</v>
      </c>
      <c r="O72" s="39">
        <v>2</v>
      </c>
      <c r="P72" s="39">
        <v>4</v>
      </c>
      <c r="Q72" s="39">
        <v>4</v>
      </c>
      <c r="R72" s="39">
        <v>10</v>
      </c>
      <c r="S72" s="51" t="str">
        <f t="shared" si="8"/>
        <v>Promoter</v>
      </c>
    </row>
    <row r="73" ht="14.25" customHeight="1" spans="1:19">
      <c r="A73" s="43" t="s">
        <v>114</v>
      </c>
      <c r="B73" s="43" t="s">
        <v>11</v>
      </c>
      <c r="C73" s="43" t="s">
        <v>22</v>
      </c>
      <c r="D73" s="44">
        <v>45931</v>
      </c>
      <c r="E73" s="44">
        <v>45934</v>
      </c>
      <c r="F73" s="44">
        <v>45936</v>
      </c>
      <c r="G73" s="44">
        <v>45938</v>
      </c>
      <c r="H73" s="45" t="str">
        <f t="shared" si="9"/>
        <v>Delivered</v>
      </c>
      <c r="I73" s="48">
        <f t="shared" si="5"/>
        <v>3</v>
      </c>
      <c r="J73" s="48">
        <f t="shared" si="6"/>
        <v>2</v>
      </c>
      <c r="K73" s="48">
        <f t="shared" si="7"/>
        <v>2</v>
      </c>
      <c r="L73" s="39" t="s">
        <v>9</v>
      </c>
      <c r="N73" s="44">
        <v>45953</v>
      </c>
      <c r="O73" s="39">
        <v>3</v>
      </c>
      <c r="P73" s="39">
        <v>2</v>
      </c>
      <c r="Q73" s="39">
        <v>2</v>
      </c>
      <c r="R73" s="39">
        <v>7</v>
      </c>
      <c r="S73" s="51" t="str">
        <f t="shared" si="8"/>
        <v>Passive</v>
      </c>
    </row>
    <row r="74" ht="14.25" customHeight="1" spans="1:19">
      <c r="A74" s="43" t="s">
        <v>115</v>
      </c>
      <c r="B74" s="43" t="s">
        <v>12</v>
      </c>
      <c r="C74" s="43" t="s">
        <v>21</v>
      </c>
      <c r="D74" s="44">
        <v>45947</v>
      </c>
      <c r="E74" s="44">
        <v>45950</v>
      </c>
      <c r="F74" s="44">
        <v>45952</v>
      </c>
      <c r="G74" s="44">
        <v>45955</v>
      </c>
      <c r="H74" s="45" t="str">
        <f t="shared" si="9"/>
        <v>Delivered</v>
      </c>
      <c r="I74" s="48">
        <f t="shared" si="5"/>
        <v>3</v>
      </c>
      <c r="J74" s="48">
        <f t="shared" si="6"/>
        <v>2</v>
      </c>
      <c r="K74" s="48">
        <f t="shared" si="7"/>
        <v>3</v>
      </c>
      <c r="L74" s="39" t="s">
        <v>9</v>
      </c>
      <c r="N74" s="44">
        <v>45965</v>
      </c>
      <c r="O74" s="39">
        <v>3</v>
      </c>
      <c r="P74" s="39">
        <v>2</v>
      </c>
      <c r="Q74" s="39">
        <v>3</v>
      </c>
      <c r="R74" s="39">
        <v>6</v>
      </c>
      <c r="S74" s="51" t="str">
        <f t="shared" si="8"/>
        <v>Detractor</v>
      </c>
    </row>
    <row r="75" ht="14.25" customHeight="1" spans="1:19">
      <c r="A75" s="43" t="s">
        <v>116</v>
      </c>
      <c r="B75" s="43" t="s">
        <v>13</v>
      </c>
      <c r="C75" s="43" t="s">
        <v>20</v>
      </c>
      <c r="D75" s="44">
        <v>45961</v>
      </c>
      <c r="H75" s="45" t="str">
        <f t="shared" si="9"/>
        <v>Cancelled</v>
      </c>
      <c r="I75" s="48">
        <f t="shared" si="5"/>
        <v>0</v>
      </c>
      <c r="J75" s="48">
        <f t="shared" si="6"/>
        <v>0</v>
      </c>
      <c r="K75" s="48">
        <f t="shared" si="7"/>
        <v>0</v>
      </c>
      <c r="L75" s="39" t="s">
        <v>10</v>
      </c>
      <c r="M75" s="39" t="s">
        <v>117</v>
      </c>
      <c r="S75" s="51" t="str">
        <f t="shared" si="8"/>
        <v>Detractor</v>
      </c>
    </row>
    <row r="76" ht="14.25" customHeight="1" spans="1:19">
      <c r="A76" s="43" t="s">
        <v>118</v>
      </c>
      <c r="B76" s="43" t="s">
        <v>11</v>
      </c>
      <c r="C76" s="43" t="s">
        <v>22</v>
      </c>
      <c r="D76" s="44">
        <v>45937</v>
      </c>
      <c r="E76" s="44">
        <v>45940</v>
      </c>
      <c r="F76" s="44">
        <v>45943</v>
      </c>
      <c r="G76" s="44">
        <v>45947</v>
      </c>
      <c r="H76" s="45" t="str">
        <f t="shared" si="9"/>
        <v>Delivered</v>
      </c>
      <c r="I76" s="48">
        <f t="shared" si="5"/>
        <v>3</v>
      </c>
      <c r="J76" s="48">
        <f t="shared" si="6"/>
        <v>3</v>
      </c>
      <c r="K76" s="48">
        <f t="shared" si="7"/>
        <v>4</v>
      </c>
      <c r="L76" s="39" t="s">
        <v>9</v>
      </c>
      <c r="N76" s="44">
        <v>45975</v>
      </c>
      <c r="O76" s="39">
        <v>3</v>
      </c>
      <c r="P76" s="39">
        <v>3</v>
      </c>
      <c r="Q76" s="39">
        <v>4</v>
      </c>
      <c r="R76" s="39">
        <v>0</v>
      </c>
      <c r="S76" s="51" t="str">
        <f t="shared" si="8"/>
        <v>Detractor</v>
      </c>
    </row>
    <row r="77" ht="14.25" customHeight="1" spans="1:19">
      <c r="A77" s="43" t="s">
        <v>119</v>
      </c>
      <c r="B77" s="43" t="s">
        <v>11</v>
      </c>
      <c r="C77" s="43" t="s">
        <v>21</v>
      </c>
      <c r="D77" s="44">
        <v>45933</v>
      </c>
      <c r="E77" s="44">
        <v>45936</v>
      </c>
      <c r="F77" s="44">
        <v>45941</v>
      </c>
      <c r="G77" s="44">
        <v>45948</v>
      </c>
      <c r="H77" s="45" t="str">
        <f t="shared" si="9"/>
        <v>Delivered</v>
      </c>
      <c r="I77" s="48">
        <f t="shared" si="5"/>
        <v>3</v>
      </c>
      <c r="J77" s="48">
        <f t="shared" si="6"/>
        <v>5</v>
      </c>
      <c r="K77" s="48">
        <f t="shared" si="7"/>
        <v>7</v>
      </c>
      <c r="L77" s="39" t="s">
        <v>9</v>
      </c>
      <c r="N77" s="44">
        <v>45970</v>
      </c>
      <c r="O77" s="39">
        <v>3</v>
      </c>
      <c r="P77" s="39">
        <v>5</v>
      </c>
      <c r="Q77" s="39">
        <v>7</v>
      </c>
      <c r="R77" s="39">
        <v>1</v>
      </c>
      <c r="S77" s="51" t="str">
        <f t="shared" si="8"/>
        <v>Detractor</v>
      </c>
    </row>
    <row r="78" ht="14.25" customHeight="1" spans="1:19">
      <c r="A78" s="43" t="s">
        <v>120</v>
      </c>
      <c r="B78" s="43" t="s">
        <v>12</v>
      </c>
      <c r="C78" s="43" t="s">
        <v>22</v>
      </c>
      <c r="D78" s="44">
        <v>45938</v>
      </c>
      <c r="E78" s="44">
        <v>45939</v>
      </c>
      <c r="F78" s="44">
        <v>45942</v>
      </c>
      <c r="G78" s="44">
        <v>45945</v>
      </c>
      <c r="H78" s="45" t="str">
        <f t="shared" si="9"/>
        <v>Delivered</v>
      </c>
      <c r="I78" s="48">
        <f t="shared" si="5"/>
        <v>1</v>
      </c>
      <c r="J78" s="48">
        <f t="shared" si="6"/>
        <v>3</v>
      </c>
      <c r="K78" s="48">
        <f t="shared" si="7"/>
        <v>3</v>
      </c>
      <c r="L78" s="39" t="s">
        <v>9</v>
      </c>
      <c r="N78" s="44">
        <v>45973</v>
      </c>
      <c r="O78" s="39">
        <v>1</v>
      </c>
      <c r="P78" s="39">
        <v>3</v>
      </c>
      <c r="Q78" s="39">
        <v>3</v>
      </c>
      <c r="R78" s="39">
        <v>8</v>
      </c>
      <c r="S78" s="51" t="str">
        <f t="shared" si="8"/>
        <v>Passive</v>
      </c>
    </row>
    <row r="79" ht="14.25" customHeight="1" spans="1:19">
      <c r="A79" s="43" t="s">
        <v>121</v>
      </c>
      <c r="B79" s="43" t="s">
        <v>12</v>
      </c>
      <c r="C79" s="43" t="s">
        <v>20</v>
      </c>
      <c r="D79" s="44">
        <v>45954</v>
      </c>
      <c r="H79" s="45" t="str">
        <f t="shared" si="9"/>
        <v>Cancelled</v>
      </c>
      <c r="I79" s="48">
        <f t="shared" si="5"/>
        <v>0</v>
      </c>
      <c r="J79" s="48">
        <f t="shared" si="6"/>
        <v>0</v>
      </c>
      <c r="K79" s="48">
        <f t="shared" si="7"/>
        <v>0</v>
      </c>
      <c r="L79" s="39" t="s">
        <v>10</v>
      </c>
      <c r="M79" s="39" t="s">
        <v>42</v>
      </c>
      <c r="S79" s="51" t="str">
        <f t="shared" si="8"/>
        <v>Detractor</v>
      </c>
    </row>
    <row r="80" ht="14.25" customHeight="1" spans="1:19">
      <c r="A80" s="43" t="s">
        <v>122</v>
      </c>
      <c r="B80" s="43" t="s">
        <v>13</v>
      </c>
      <c r="C80" s="43" t="s">
        <v>20</v>
      </c>
      <c r="D80" s="44">
        <v>45944</v>
      </c>
      <c r="H80" s="45" t="str">
        <f t="shared" si="9"/>
        <v>Cancelled</v>
      </c>
      <c r="I80" s="48">
        <f t="shared" si="5"/>
        <v>0</v>
      </c>
      <c r="J80" s="48">
        <f t="shared" si="6"/>
        <v>0</v>
      </c>
      <c r="K80" s="48">
        <f t="shared" si="7"/>
        <v>0</v>
      </c>
      <c r="L80" s="39" t="s">
        <v>10</v>
      </c>
      <c r="M80" s="39" t="s">
        <v>79</v>
      </c>
      <c r="S80" s="51" t="str">
        <f t="shared" si="8"/>
        <v>Detractor</v>
      </c>
    </row>
    <row r="81" ht="14.25" customHeight="1" spans="1:19">
      <c r="A81" s="43" t="s">
        <v>123</v>
      </c>
      <c r="B81" s="43" t="s">
        <v>12</v>
      </c>
      <c r="C81" s="43" t="s">
        <v>22</v>
      </c>
      <c r="D81" s="44">
        <v>45946</v>
      </c>
      <c r="E81" s="44">
        <v>45948</v>
      </c>
      <c r="F81" s="44">
        <v>45950</v>
      </c>
      <c r="G81" s="44">
        <v>45956</v>
      </c>
      <c r="H81" s="45" t="str">
        <f t="shared" si="9"/>
        <v>Delivered</v>
      </c>
      <c r="I81" s="48">
        <f t="shared" si="5"/>
        <v>2</v>
      </c>
      <c r="J81" s="48">
        <f t="shared" si="6"/>
        <v>2</v>
      </c>
      <c r="K81" s="48">
        <f t="shared" si="7"/>
        <v>6</v>
      </c>
      <c r="L81" s="39" t="s">
        <v>10</v>
      </c>
      <c r="M81" s="39" t="s">
        <v>49</v>
      </c>
      <c r="O81" s="39">
        <v>2</v>
      </c>
      <c r="P81" s="39">
        <v>2</v>
      </c>
      <c r="Q81" s="39">
        <v>6</v>
      </c>
      <c r="S81" s="51" t="str">
        <f t="shared" si="8"/>
        <v>Detractor</v>
      </c>
    </row>
    <row r="82" ht="14.25" customHeight="1" spans="1:19">
      <c r="A82" s="43" t="s">
        <v>124</v>
      </c>
      <c r="B82" s="43" t="s">
        <v>14</v>
      </c>
      <c r="C82" s="43" t="s">
        <v>20</v>
      </c>
      <c r="D82" s="44">
        <v>45948</v>
      </c>
      <c r="H82" s="45" t="str">
        <f t="shared" si="9"/>
        <v>Cancelled</v>
      </c>
      <c r="I82" s="48">
        <f t="shared" si="5"/>
        <v>0</v>
      </c>
      <c r="J82" s="48">
        <f t="shared" si="6"/>
        <v>0</v>
      </c>
      <c r="K82" s="48">
        <f t="shared" si="7"/>
        <v>0</v>
      </c>
      <c r="L82" s="39" t="s">
        <v>10</v>
      </c>
      <c r="M82" s="39" t="s">
        <v>42</v>
      </c>
      <c r="S82" s="51" t="str">
        <f t="shared" si="8"/>
        <v>Detractor</v>
      </c>
    </row>
    <row r="83" ht="14.25" customHeight="1" spans="1:19">
      <c r="A83" s="43" t="s">
        <v>125</v>
      </c>
      <c r="B83" s="43" t="s">
        <v>12</v>
      </c>
      <c r="C83" s="43" t="s">
        <v>20</v>
      </c>
      <c r="D83" s="44">
        <v>45955</v>
      </c>
      <c r="H83" s="45" t="str">
        <f t="shared" si="9"/>
        <v>Cancelled</v>
      </c>
      <c r="I83" s="48">
        <f t="shared" si="5"/>
        <v>0</v>
      </c>
      <c r="J83" s="48">
        <f t="shared" si="6"/>
        <v>0</v>
      </c>
      <c r="K83" s="48">
        <f t="shared" si="7"/>
        <v>0</v>
      </c>
      <c r="L83" s="39" t="s">
        <v>10</v>
      </c>
      <c r="M83" s="39" t="s">
        <v>42</v>
      </c>
      <c r="S83" s="51" t="str">
        <f t="shared" si="8"/>
        <v>Detractor</v>
      </c>
    </row>
    <row r="84" ht="14.25" customHeight="1" spans="1:19">
      <c r="A84" s="43" t="s">
        <v>126</v>
      </c>
      <c r="B84" s="43" t="s">
        <v>14</v>
      </c>
      <c r="C84" s="43" t="s">
        <v>22</v>
      </c>
      <c r="D84" s="44">
        <v>45938</v>
      </c>
      <c r="E84" s="44">
        <v>45940</v>
      </c>
      <c r="F84" s="44">
        <v>45943</v>
      </c>
      <c r="G84" s="44">
        <v>45948</v>
      </c>
      <c r="H84" s="45" t="str">
        <f t="shared" si="9"/>
        <v>Delivered</v>
      </c>
      <c r="I84" s="48">
        <f t="shared" si="5"/>
        <v>2</v>
      </c>
      <c r="J84" s="48">
        <f t="shared" si="6"/>
        <v>3</v>
      </c>
      <c r="K84" s="48">
        <f t="shared" si="7"/>
        <v>5</v>
      </c>
      <c r="L84" s="39" t="s">
        <v>9</v>
      </c>
      <c r="N84" s="44">
        <v>45959</v>
      </c>
      <c r="O84" s="39">
        <v>2</v>
      </c>
      <c r="P84" s="39">
        <v>3</v>
      </c>
      <c r="Q84" s="39">
        <v>5</v>
      </c>
      <c r="R84" s="39">
        <v>5</v>
      </c>
      <c r="S84" s="51" t="str">
        <f t="shared" si="8"/>
        <v>Detractor</v>
      </c>
    </row>
    <row r="85" ht="14.25" customHeight="1" spans="1:19">
      <c r="A85" s="43" t="s">
        <v>127</v>
      </c>
      <c r="B85" s="43" t="s">
        <v>13</v>
      </c>
      <c r="C85" s="43" t="s">
        <v>21</v>
      </c>
      <c r="D85" s="44">
        <v>45953</v>
      </c>
      <c r="E85" s="44">
        <v>45958</v>
      </c>
      <c r="F85" s="44">
        <v>45961</v>
      </c>
      <c r="G85" s="44">
        <v>45966</v>
      </c>
      <c r="H85" s="45" t="str">
        <f t="shared" si="9"/>
        <v>Delivered</v>
      </c>
      <c r="I85" s="48">
        <f t="shared" si="5"/>
        <v>5</v>
      </c>
      <c r="J85" s="48">
        <f t="shared" si="6"/>
        <v>3</v>
      </c>
      <c r="K85" s="48">
        <f t="shared" si="7"/>
        <v>5</v>
      </c>
      <c r="L85" s="39" t="s">
        <v>9</v>
      </c>
      <c r="N85" s="44">
        <v>45981</v>
      </c>
      <c r="O85" s="39">
        <v>5</v>
      </c>
      <c r="P85" s="39">
        <v>3</v>
      </c>
      <c r="Q85" s="39">
        <v>5</v>
      </c>
      <c r="R85" s="39">
        <v>5</v>
      </c>
      <c r="S85" s="51" t="str">
        <f t="shared" si="8"/>
        <v>Detractor</v>
      </c>
    </row>
    <row r="86" ht="14.25" customHeight="1" spans="1:19">
      <c r="A86" s="43" t="s">
        <v>128</v>
      </c>
      <c r="B86" s="43" t="s">
        <v>13</v>
      </c>
      <c r="C86" s="43" t="s">
        <v>22</v>
      </c>
      <c r="D86" s="44">
        <v>45946</v>
      </c>
      <c r="E86" s="44">
        <v>45950</v>
      </c>
      <c r="F86" s="44">
        <v>45952</v>
      </c>
      <c r="G86" s="44">
        <v>45958</v>
      </c>
      <c r="H86" s="45" t="str">
        <f t="shared" si="9"/>
        <v>Delivered</v>
      </c>
      <c r="I86" s="48">
        <f t="shared" si="5"/>
        <v>4</v>
      </c>
      <c r="J86" s="48">
        <f t="shared" si="6"/>
        <v>2</v>
      </c>
      <c r="K86" s="48">
        <f t="shared" si="7"/>
        <v>6</v>
      </c>
      <c r="L86" s="39" t="s">
        <v>9</v>
      </c>
      <c r="N86" s="44">
        <v>45987</v>
      </c>
      <c r="O86" s="39">
        <v>4</v>
      </c>
      <c r="P86" s="39">
        <v>2</v>
      </c>
      <c r="Q86" s="39">
        <v>6</v>
      </c>
      <c r="R86" s="39">
        <v>4</v>
      </c>
      <c r="S86" s="51" t="str">
        <f t="shared" si="8"/>
        <v>Detractor</v>
      </c>
    </row>
    <row r="87" ht="14.25" customHeight="1" spans="1:19">
      <c r="A87" s="43" t="s">
        <v>129</v>
      </c>
      <c r="B87" s="43" t="s">
        <v>13</v>
      </c>
      <c r="C87" s="43" t="s">
        <v>20</v>
      </c>
      <c r="D87" s="44">
        <v>45951</v>
      </c>
      <c r="H87" s="45" t="str">
        <f t="shared" si="9"/>
        <v>Cancelled</v>
      </c>
      <c r="I87" s="48">
        <f t="shared" si="5"/>
        <v>0</v>
      </c>
      <c r="J87" s="48">
        <f t="shared" si="6"/>
        <v>0</v>
      </c>
      <c r="K87" s="48">
        <f t="shared" si="7"/>
        <v>0</v>
      </c>
      <c r="L87" s="39" t="s">
        <v>10</v>
      </c>
      <c r="M87" s="39" t="s">
        <v>44</v>
      </c>
      <c r="S87" s="51" t="str">
        <f t="shared" si="8"/>
        <v>Detractor</v>
      </c>
    </row>
    <row r="88" ht="14.25" customHeight="1" spans="1:19">
      <c r="A88" s="43" t="s">
        <v>130</v>
      </c>
      <c r="B88" s="43" t="s">
        <v>13</v>
      </c>
      <c r="C88" s="43" t="s">
        <v>21</v>
      </c>
      <c r="D88" s="44">
        <v>45953</v>
      </c>
      <c r="E88" s="44">
        <v>45954</v>
      </c>
      <c r="F88" s="44">
        <v>45958</v>
      </c>
      <c r="G88" s="44">
        <v>45961</v>
      </c>
      <c r="H88" s="45" t="str">
        <f t="shared" si="9"/>
        <v>Delivered</v>
      </c>
      <c r="I88" s="48">
        <f t="shared" si="5"/>
        <v>1</v>
      </c>
      <c r="J88" s="48">
        <f t="shared" si="6"/>
        <v>4</v>
      </c>
      <c r="K88" s="48">
        <f t="shared" si="7"/>
        <v>3</v>
      </c>
      <c r="L88" s="39" t="s">
        <v>9</v>
      </c>
      <c r="N88" s="44">
        <v>45981</v>
      </c>
      <c r="O88" s="39">
        <v>1</v>
      </c>
      <c r="P88" s="39">
        <v>4</v>
      </c>
      <c r="Q88" s="39">
        <v>3</v>
      </c>
      <c r="R88" s="39">
        <v>7</v>
      </c>
      <c r="S88" s="51" t="str">
        <f t="shared" si="8"/>
        <v>Passive</v>
      </c>
    </row>
    <row r="89" ht="14.25" customHeight="1" spans="1:19">
      <c r="A89" s="43" t="s">
        <v>131</v>
      </c>
      <c r="B89" s="43" t="s">
        <v>13</v>
      </c>
      <c r="C89" s="43" t="s">
        <v>20</v>
      </c>
      <c r="D89" s="44">
        <v>45946</v>
      </c>
      <c r="H89" s="45" t="str">
        <f t="shared" si="9"/>
        <v>Cancelled</v>
      </c>
      <c r="I89" s="48">
        <f t="shared" si="5"/>
        <v>0</v>
      </c>
      <c r="J89" s="48">
        <f t="shared" si="6"/>
        <v>0</v>
      </c>
      <c r="K89" s="48">
        <f t="shared" si="7"/>
        <v>0</v>
      </c>
      <c r="L89" s="39" t="s">
        <v>10</v>
      </c>
      <c r="M89" s="39" t="s">
        <v>49</v>
      </c>
      <c r="S89" s="51" t="str">
        <f t="shared" si="8"/>
        <v>Detractor</v>
      </c>
    </row>
    <row r="90" ht="14.25" customHeight="1" spans="1:19">
      <c r="A90" s="43" t="s">
        <v>132</v>
      </c>
      <c r="B90" s="43" t="s">
        <v>14</v>
      </c>
      <c r="C90" s="43" t="s">
        <v>21</v>
      </c>
      <c r="D90" s="44">
        <v>45945</v>
      </c>
      <c r="E90" s="44">
        <v>45947</v>
      </c>
      <c r="F90" s="44">
        <v>45950</v>
      </c>
      <c r="G90" s="44">
        <v>45956</v>
      </c>
      <c r="H90" s="45" t="str">
        <f t="shared" si="9"/>
        <v>Delivered</v>
      </c>
      <c r="I90" s="48">
        <f t="shared" si="5"/>
        <v>2</v>
      </c>
      <c r="J90" s="48">
        <f t="shared" si="6"/>
        <v>3</v>
      </c>
      <c r="K90" s="48">
        <f t="shared" si="7"/>
        <v>6</v>
      </c>
      <c r="L90" s="39" t="s">
        <v>9</v>
      </c>
      <c r="N90" s="44">
        <v>45985</v>
      </c>
      <c r="O90" s="39">
        <v>2</v>
      </c>
      <c r="P90" s="39">
        <v>3</v>
      </c>
      <c r="Q90" s="39">
        <v>6</v>
      </c>
      <c r="R90" s="39">
        <v>5</v>
      </c>
      <c r="S90" s="51" t="str">
        <f t="shared" si="8"/>
        <v>Detractor</v>
      </c>
    </row>
    <row r="91" ht="14.25" customHeight="1" spans="1:19">
      <c r="A91" s="43" t="s">
        <v>133</v>
      </c>
      <c r="B91" s="43" t="s">
        <v>14</v>
      </c>
      <c r="C91" s="43" t="s">
        <v>21</v>
      </c>
      <c r="D91" s="44">
        <v>45956</v>
      </c>
      <c r="E91" s="44">
        <v>45957</v>
      </c>
      <c r="F91" s="44">
        <v>45961</v>
      </c>
      <c r="G91" s="44">
        <v>45966</v>
      </c>
      <c r="H91" s="45" t="str">
        <f t="shared" si="9"/>
        <v>Delivered</v>
      </c>
      <c r="I91" s="48">
        <f t="shared" si="5"/>
        <v>1</v>
      </c>
      <c r="J91" s="48">
        <f t="shared" si="6"/>
        <v>4</v>
      </c>
      <c r="K91" s="48">
        <f t="shared" si="7"/>
        <v>5</v>
      </c>
      <c r="L91" s="39" t="s">
        <v>9</v>
      </c>
      <c r="N91" s="44">
        <v>45983</v>
      </c>
      <c r="O91" s="39">
        <v>1</v>
      </c>
      <c r="P91" s="39">
        <v>4</v>
      </c>
      <c r="Q91" s="39">
        <v>5</v>
      </c>
      <c r="R91" s="39">
        <v>8</v>
      </c>
      <c r="S91" s="51" t="str">
        <f t="shared" si="8"/>
        <v>Passive</v>
      </c>
    </row>
    <row r="92" ht="14.25" customHeight="1" spans="1:19">
      <c r="A92" s="43" t="s">
        <v>134</v>
      </c>
      <c r="B92" s="43" t="s">
        <v>13</v>
      </c>
      <c r="C92" s="43" t="s">
        <v>22</v>
      </c>
      <c r="D92" s="44">
        <v>45931</v>
      </c>
      <c r="E92" s="44">
        <v>45932</v>
      </c>
      <c r="F92" s="44">
        <v>45935</v>
      </c>
      <c r="G92" s="44">
        <v>45940</v>
      </c>
      <c r="H92" s="45" t="str">
        <f t="shared" si="9"/>
        <v>Delivered</v>
      </c>
      <c r="I92" s="48">
        <f t="shared" si="5"/>
        <v>1</v>
      </c>
      <c r="J92" s="48">
        <f t="shared" si="6"/>
        <v>3</v>
      </c>
      <c r="K92" s="48">
        <f t="shared" si="7"/>
        <v>5</v>
      </c>
      <c r="L92" s="39" t="s">
        <v>9</v>
      </c>
      <c r="N92" s="44">
        <v>45970</v>
      </c>
      <c r="O92" s="39">
        <v>1</v>
      </c>
      <c r="P92" s="39">
        <v>3</v>
      </c>
      <c r="Q92" s="39">
        <v>5</v>
      </c>
      <c r="R92" s="39">
        <v>0</v>
      </c>
      <c r="S92" s="51" t="str">
        <f t="shared" si="8"/>
        <v>Detractor</v>
      </c>
    </row>
    <row r="93" ht="14.25" customHeight="1" spans="1:19">
      <c r="A93" s="43" t="s">
        <v>135</v>
      </c>
      <c r="B93" s="43" t="s">
        <v>12</v>
      </c>
      <c r="C93" s="43" t="s">
        <v>21</v>
      </c>
      <c r="D93" s="44">
        <v>45933</v>
      </c>
      <c r="E93" s="44">
        <v>45938</v>
      </c>
      <c r="F93" s="44">
        <v>45943</v>
      </c>
      <c r="G93" s="44">
        <v>45946</v>
      </c>
      <c r="H93" s="45" t="str">
        <f t="shared" si="9"/>
        <v>Delivered</v>
      </c>
      <c r="I93" s="48">
        <f t="shared" si="5"/>
        <v>5</v>
      </c>
      <c r="J93" s="48">
        <f t="shared" si="6"/>
        <v>5</v>
      </c>
      <c r="K93" s="48">
        <f t="shared" si="7"/>
        <v>3</v>
      </c>
      <c r="L93" s="39" t="s">
        <v>9</v>
      </c>
      <c r="N93" s="44">
        <v>45974</v>
      </c>
      <c r="O93" s="39">
        <v>5</v>
      </c>
      <c r="P93" s="39">
        <v>5</v>
      </c>
      <c r="Q93" s="39">
        <v>3</v>
      </c>
      <c r="R93" s="39">
        <v>9</v>
      </c>
      <c r="S93" s="51" t="str">
        <f t="shared" si="8"/>
        <v>Promoter</v>
      </c>
    </row>
    <row r="94" ht="14.25" customHeight="1" spans="1:19">
      <c r="A94" s="43" t="s">
        <v>136</v>
      </c>
      <c r="B94" s="43" t="s">
        <v>11</v>
      </c>
      <c r="C94" s="43" t="s">
        <v>20</v>
      </c>
      <c r="D94" s="44">
        <v>45940</v>
      </c>
      <c r="H94" s="45" t="str">
        <f t="shared" si="9"/>
        <v>Cancelled</v>
      </c>
      <c r="I94" s="48">
        <f t="shared" si="5"/>
        <v>0</v>
      </c>
      <c r="J94" s="48">
        <f t="shared" si="6"/>
        <v>0</v>
      </c>
      <c r="K94" s="48">
        <f t="shared" si="7"/>
        <v>0</v>
      </c>
      <c r="L94" s="39" t="s">
        <v>10</v>
      </c>
      <c r="M94" s="39" t="s">
        <v>117</v>
      </c>
      <c r="S94" s="51" t="str">
        <f t="shared" si="8"/>
        <v>Detractor</v>
      </c>
    </row>
    <row r="95" ht="14.25" customHeight="1" spans="1:19">
      <c r="A95" s="43" t="s">
        <v>137</v>
      </c>
      <c r="B95" s="43" t="s">
        <v>13</v>
      </c>
      <c r="C95" s="43" t="s">
        <v>20</v>
      </c>
      <c r="D95" s="44">
        <v>45938</v>
      </c>
      <c r="H95" s="45" t="str">
        <f t="shared" si="9"/>
        <v>Cancelled</v>
      </c>
      <c r="I95" s="48">
        <f t="shared" si="5"/>
        <v>0</v>
      </c>
      <c r="J95" s="48">
        <f t="shared" si="6"/>
        <v>0</v>
      </c>
      <c r="K95" s="48">
        <f t="shared" si="7"/>
        <v>0</v>
      </c>
      <c r="L95" s="39" t="s">
        <v>10</v>
      </c>
      <c r="M95" s="39" t="s">
        <v>79</v>
      </c>
      <c r="S95" s="51" t="str">
        <f t="shared" si="8"/>
        <v>Detractor</v>
      </c>
    </row>
    <row r="96" ht="14.25" customHeight="1" spans="1:19">
      <c r="A96" s="43" t="s">
        <v>138</v>
      </c>
      <c r="B96" s="43" t="s">
        <v>12</v>
      </c>
      <c r="C96" s="43" t="s">
        <v>20</v>
      </c>
      <c r="D96" s="44">
        <v>45943</v>
      </c>
      <c r="H96" s="45" t="str">
        <f t="shared" si="9"/>
        <v>Cancelled</v>
      </c>
      <c r="I96" s="48">
        <f t="shared" si="5"/>
        <v>0</v>
      </c>
      <c r="J96" s="48">
        <f t="shared" si="6"/>
        <v>0</v>
      </c>
      <c r="K96" s="48">
        <f t="shared" si="7"/>
        <v>0</v>
      </c>
      <c r="L96" s="39" t="s">
        <v>10</v>
      </c>
      <c r="M96" s="39" t="s">
        <v>44</v>
      </c>
      <c r="S96" s="51" t="str">
        <f t="shared" si="8"/>
        <v>Detractor</v>
      </c>
    </row>
    <row r="97" ht="14.25" customHeight="1" spans="1:19">
      <c r="A97" s="43" t="s">
        <v>139</v>
      </c>
      <c r="B97" s="43" t="s">
        <v>11</v>
      </c>
      <c r="C97" s="43" t="s">
        <v>22</v>
      </c>
      <c r="D97" s="44">
        <v>45953</v>
      </c>
      <c r="E97" s="44">
        <v>45955</v>
      </c>
      <c r="F97" s="44">
        <v>45958</v>
      </c>
      <c r="G97" s="44">
        <v>45963</v>
      </c>
      <c r="H97" s="45" t="str">
        <f t="shared" si="9"/>
        <v>Delivered</v>
      </c>
      <c r="I97" s="48">
        <f t="shared" si="5"/>
        <v>2</v>
      </c>
      <c r="J97" s="48">
        <f t="shared" si="6"/>
        <v>3</v>
      </c>
      <c r="K97" s="48">
        <f t="shared" si="7"/>
        <v>5</v>
      </c>
      <c r="L97" s="39" t="s">
        <v>9</v>
      </c>
      <c r="N97" s="44">
        <v>45976</v>
      </c>
      <c r="O97" s="39">
        <v>2</v>
      </c>
      <c r="P97" s="39">
        <v>3</v>
      </c>
      <c r="Q97" s="39">
        <v>5</v>
      </c>
      <c r="R97" s="39">
        <v>9</v>
      </c>
      <c r="S97" s="51" t="str">
        <f t="shared" si="8"/>
        <v>Promoter</v>
      </c>
    </row>
    <row r="98" ht="14.25" customHeight="1" spans="1:19">
      <c r="A98" s="43" t="s">
        <v>140</v>
      </c>
      <c r="B98" s="43" t="s">
        <v>13</v>
      </c>
      <c r="C98" s="43" t="s">
        <v>21</v>
      </c>
      <c r="D98" s="44">
        <v>45938</v>
      </c>
      <c r="E98" s="44">
        <v>45942</v>
      </c>
      <c r="F98" s="44">
        <v>45945</v>
      </c>
      <c r="G98" s="44">
        <v>45952</v>
      </c>
      <c r="H98" s="45" t="str">
        <f t="shared" si="9"/>
        <v>Delivered</v>
      </c>
      <c r="I98" s="48">
        <f t="shared" si="5"/>
        <v>4</v>
      </c>
      <c r="J98" s="48">
        <f t="shared" si="6"/>
        <v>3</v>
      </c>
      <c r="K98" s="48">
        <f t="shared" si="7"/>
        <v>7</v>
      </c>
      <c r="L98" s="39" t="s">
        <v>10</v>
      </c>
      <c r="M98" s="39" t="s">
        <v>79</v>
      </c>
      <c r="O98" s="39">
        <v>4</v>
      </c>
      <c r="P98" s="39">
        <v>3</v>
      </c>
      <c r="Q98" s="39">
        <v>7</v>
      </c>
      <c r="S98" s="51" t="str">
        <f t="shared" si="8"/>
        <v>Detractor</v>
      </c>
    </row>
    <row r="99" ht="14.25" customHeight="1" spans="1:19">
      <c r="A99" s="43" t="s">
        <v>141</v>
      </c>
      <c r="B99" s="43" t="s">
        <v>13</v>
      </c>
      <c r="C99" s="43" t="s">
        <v>22</v>
      </c>
      <c r="D99" s="44">
        <v>45940</v>
      </c>
      <c r="E99" s="44">
        <v>45944</v>
      </c>
      <c r="F99" s="44">
        <v>45945</v>
      </c>
      <c r="G99" s="44">
        <v>45951</v>
      </c>
      <c r="H99" s="45" t="str">
        <f t="shared" si="9"/>
        <v>Delivered</v>
      </c>
      <c r="I99" s="48">
        <f t="shared" si="5"/>
        <v>4</v>
      </c>
      <c r="J99" s="48">
        <f t="shared" si="6"/>
        <v>1</v>
      </c>
      <c r="K99" s="48">
        <f t="shared" si="7"/>
        <v>6</v>
      </c>
      <c r="L99" s="39" t="s">
        <v>9</v>
      </c>
      <c r="N99" s="44">
        <v>45976</v>
      </c>
      <c r="O99" s="39">
        <v>4</v>
      </c>
      <c r="P99" s="39">
        <v>1</v>
      </c>
      <c r="Q99" s="39">
        <v>6</v>
      </c>
      <c r="R99" s="39">
        <v>6</v>
      </c>
      <c r="S99" s="51" t="str">
        <f t="shared" si="8"/>
        <v>Detractor</v>
      </c>
    </row>
    <row r="100" ht="14.25" customHeight="1" spans="1:19">
      <c r="A100" s="43" t="s">
        <v>142</v>
      </c>
      <c r="B100" s="43" t="s">
        <v>14</v>
      </c>
      <c r="C100" s="43" t="s">
        <v>22</v>
      </c>
      <c r="D100" s="44">
        <v>45952</v>
      </c>
      <c r="E100" s="44">
        <v>45956</v>
      </c>
      <c r="F100" s="44">
        <v>45961</v>
      </c>
      <c r="G100" s="44">
        <v>45968</v>
      </c>
      <c r="H100" s="45" t="str">
        <f t="shared" si="9"/>
        <v>Delivered</v>
      </c>
      <c r="I100" s="48">
        <f t="shared" si="5"/>
        <v>4</v>
      </c>
      <c r="J100" s="48">
        <f t="shared" si="6"/>
        <v>5</v>
      </c>
      <c r="K100" s="48">
        <f t="shared" si="7"/>
        <v>7</v>
      </c>
      <c r="L100" s="39" t="s">
        <v>9</v>
      </c>
      <c r="N100" s="44">
        <v>45982</v>
      </c>
      <c r="O100" s="39">
        <v>4</v>
      </c>
      <c r="P100" s="39">
        <v>5</v>
      </c>
      <c r="Q100" s="39">
        <v>7</v>
      </c>
      <c r="R100" s="39">
        <v>0</v>
      </c>
      <c r="S100" s="51" t="str">
        <f t="shared" si="8"/>
        <v>Detractor</v>
      </c>
    </row>
    <row r="101" ht="14.25" customHeight="1" spans="1:19">
      <c r="A101" s="43" t="s">
        <v>143</v>
      </c>
      <c r="B101" s="43" t="s">
        <v>11</v>
      </c>
      <c r="C101" s="43" t="s">
        <v>22</v>
      </c>
      <c r="D101" s="44">
        <v>45949</v>
      </c>
      <c r="E101" s="44">
        <v>45952</v>
      </c>
      <c r="F101" s="44">
        <v>45957</v>
      </c>
      <c r="G101" s="44">
        <v>45964</v>
      </c>
      <c r="H101" s="45" t="str">
        <f t="shared" si="9"/>
        <v>Delivered</v>
      </c>
      <c r="I101" s="48">
        <f t="shared" si="5"/>
        <v>3</v>
      </c>
      <c r="J101" s="48">
        <f t="shared" si="6"/>
        <v>5</v>
      </c>
      <c r="K101" s="48">
        <f t="shared" si="7"/>
        <v>7</v>
      </c>
      <c r="L101" s="39" t="s">
        <v>9</v>
      </c>
      <c r="N101" s="44">
        <v>45984</v>
      </c>
      <c r="O101" s="39">
        <v>3</v>
      </c>
      <c r="P101" s="39">
        <v>5</v>
      </c>
      <c r="Q101" s="39">
        <v>7</v>
      </c>
      <c r="R101" s="39">
        <v>10</v>
      </c>
      <c r="S101" s="51" t="str">
        <f t="shared" si="8"/>
        <v>Promoter</v>
      </c>
    </row>
    <row r="102" ht="14.25" customHeight="1" spans="1:19">
      <c r="A102" s="43" t="s">
        <v>144</v>
      </c>
      <c r="B102" s="43" t="s">
        <v>11</v>
      </c>
      <c r="C102" s="43" t="s">
        <v>21</v>
      </c>
      <c r="D102" s="44">
        <v>45942</v>
      </c>
      <c r="E102" s="44">
        <v>45944</v>
      </c>
      <c r="F102" s="44">
        <v>45948</v>
      </c>
      <c r="G102" s="44">
        <v>45951</v>
      </c>
      <c r="H102" s="45" t="str">
        <f t="shared" si="9"/>
        <v>Delivered</v>
      </c>
      <c r="I102" s="48">
        <f t="shared" si="5"/>
        <v>2</v>
      </c>
      <c r="J102" s="48">
        <f t="shared" si="6"/>
        <v>4</v>
      </c>
      <c r="K102" s="48">
        <f t="shared" si="7"/>
        <v>3</v>
      </c>
      <c r="L102" s="39" t="s">
        <v>9</v>
      </c>
      <c r="N102" s="44">
        <v>45963</v>
      </c>
      <c r="O102" s="39">
        <v>2</v>
      </c>
      <c r="P102" s="39">
        <v>4</v>
      </c>
      <c r="Q102" s="39">
        <v>3</v>
      </c>
      <c r="R102" s="39">
        <v>1</v>
      </c>
      <c r="S102" s="51" t="str">
        <f t="shared" si="8"/>
        <v>Detractor</v>
      </c>
    </row>
    <row r="103" ht="14.25" customHeight="1" spans="1:19">
      <c r="A103" s="43" t="s">
        <v>145</v>
      </c>
      <c r="B103" s="43" t="s">
        <v>12</v>
      </c>
      <c r="C103" s="43" t="s">
        <v>22</v>
      </c>
      <c r="D103" s="44">
        <v>45946</v>
      </c>
      <c r="E103" s="44">
        <v>45949</v>
      </c>
      <c r="F103" s="44">
        <v>45953</v>
      </c>
      <c r="G103" s="44">
        <v>45959</v>
      </c>
      <c r="H103" s="45" t="str">
        <f t="shared" si="9"/>
        <v>Delivered</v>
      </c>
      <c r="I103" s="48">
        <f t="shared" si="5"/>
        <v>3</v>
      </c>
      <c r="J103" s="48">
        <f t="shared" si="6"/>
        <v>4</v>
      </c>
      <c r="K103" s="48">
        <f t="shared" si="7"/>
        <v>6</v>
      </c>
      <c r="L103" s="39" t="s">
        <v>9</v>
      </c>
      <c r="N103" s="44">
        <v>45976</v>
      </c>
      <c r="O103" s="39">
        <v>3</v>
      </c>
      <c r="P103" s="39">
        <v>4</v>
      </c>
      <c r="Q103" s="39">
        <v>6</v>
      </c>
      <c r="R103" s="39">
        <v>1</v>
      </c>
      <c r="S103" s="51" t="str">
        <f t="shared" si="8"/>
        <v>Detractor</v>
      </c>
    </row>
    <row r="104" ht="14.25" customHeight="1" spans="1:19">
      <c r="A104" s="43" t="s">
        <v>146</v>
      </c>
      <c r="B104" s="43" t="s">
        <v>14</v>
      </c>
      <c r="C104" s="43" t="s">
        <v>22</v>
      </c>
      <c r="D104" s="44">
        <v>45948</v>
      </c>
      <c r="E104" s="44">
        <v>45951</v>
      </c>
      <c r="F104" s="44">
        <v>45954</v>
      </c>
      <c r="G104" s="44">
        <v>45957</v>
      </c>
      <c r="H104" s="45" t="str">
        <f t="shared" si="9"/>
        <v>Delivered</v>
      </c>
      <c r="I104" s="48">
        <f t="shared" si="5"/>
        <v>3</v>
      </c>
      <c r="J104" s="48">
        <f t="shared" si="6"/>
        <v>3</v>
      </c>
      <c r="K104" s="48">
        <f t="shared" si="7"/>
        <v>3</v>
      </c>
      <c r="L104" s="39" t="s">
        <v>9</v>
      </c>
      <c r="N104" s="44">
        <v>45978</v>
      </c>
      <c r="O104" s="39">
        <v>3</v>
      </c>
      <c r="P104" s="39">
        <v>3</v>
      </c>
      <c r="Q104" s="39">
        <v>3</v>
      </c>
      <c r="R104" s="39">
        <v>0</v>
      </c>
      <c r="S104" s="51" t="str">
        <f t="shared" si="8"/>
        <v>Detractor</v>
      </c>
    </row>
    <row r="105" ht="14.25" customHeight="1" spans="1:19">
      <c r="A105" s="43" t="s">
        <v>147</v>
      </c>
      <c r="B105" s="43" t="s">
        <v>14</v>
      </c>
      <c r="C105" s="43" t="s">
        <v>20</v>
      </c>
      <c r="D105" s="44">
        <v>45947</v>
      </c>
      <c r="H105" s="45" t="str">
        <f t="shared" si="9"/>
        <v>Cancelled</v>
      </c>
      <c r="I105" s="48">
        <f t="shared" si="5"/>
        <v>0</v>
      </c>
      <c r="J105" s="48">
        <f t="shared" si="6"/>
        <v>0</v>
      </c>
      <c r="K105" s="48">
        <f t="shared" si="7"/>
        <v>0</v>
      </c>
      <c r="L105" s="39" t="s">
        <v>10</v>
      </c>
      <c r="M105" s="39" t="s">
        <v>117</v>
      </c>
      <c r="S105" s="51" t="str">
        <f t="shared" si="8"/>
        <v>Detractor</v>
      </c>
    </row>
    <row r="106" ht="14.25" customHeight="1" spans="1:19">
      <c r="A106" s="43" t="s">
        <v>148</v>
      </c>
      <c r="B106" s="43" t="s">
        <v>14</v>
      </c>
      <c r="C106" s="43" t="s">
        <v>20</v>
      </c>
      <c r="D106" s="44">
        <v>45942</v>
      </c>
      <c r="H106" s="45" t="str">
        <f t="shared" si="9"/>
        <v>Cancelled</v>
      </c>
      <c r="I106" s="48">
        <f t="shared" si="5"/>
        <v>0</v>
      </c>
      <c r="J106" s="48">
        <f t="shared" si="6"/>
        <v>0</v>
      </c>
      <c r="K106" s="48">
        <f t="shared" si="7"/>
        <v>0</v>
      </c>
      <c r="L106" s="39" t="s">
        <v>10</v>
      </c>
      <c r="M106" s="39" t="s">
        <v>117</v>
      </c>
      <c r="S106" s="51" t="str">
        <f t="shared" si="8"/>
        <v>Detractor</v>
      </c>
    </row>
    <row r="107" ht="14.25" customHeight="1" spans="1:19">
      <c r="A107" s="43" t="s">
        <v>149</v>
      </c>
      <c r="B107" s="43" t="s">
        <v>14</v>
      </c>
      <c r="C107" s="43" t="s">
        <v>22</v>
      </c>
      <c r="D107" s="44">
        <v>45944</v>
      </c>
      <c r="E107" s="44">
        <v>45947</v>
      </c>
      <c r="F107" s="44">
        <v>45949</v>
      </c>
      <c r="G107" s="44">
        <v>45954</v>
      </c>
      <c r="H107" s="45" t="str">
        <f t="shared" si="9"/>
        <v>Delivered</v>
      </c>
      <c r="I107" s="48">
        <f t="shared" si="5"/>
        <v>3</v>
      </c>
      <c r="J107" s="48">
        <f t="shared" si="6"/>
        <v>2</v>
      </c>
      <c r="K107" s="48">
        <f t="shared" si="7"/>
        <v>5</v>
      </c>
      <c r="L107" s="39" t="s">
        <v>9</v>
      </c>
      <c r="N107" s="44">
        <v>45974</v>
      </c>
      <c r="O107" s="39">
        <v>3</v>
      </c>
      <c r="P107" s="39">
        <v>2</v>
      </c>
      <c r="Q107" s="39">
        <v>5</v>
      </c>
      <c r="R107" s="39">
        <v>2</v>
      </c>
      <c r="S107" s="51" t="str">
        <f t="shared" si="8"/>
        <v>Detractor</v>
      </c>
    </row>
    <row r="108" ht="14.25" customHeight="1" spans="1:19">
      <c r="A108" s="43" t="s">
        <v>150</v>
      </c>
      <c r="B108" s="43" t="s">
        <v>11</v>
      </c>
      <c r="C108" s="43" t="s">
        <v>22</v>
      </c>
      <c r="D108" s="44">
        <v>45954</v>
      </c>
      <c r="E108" s="44">
        <v>45959</v>
      </c>
      <c r="F108" s="44">
        <v>45962</v>
      </c>
      <c r="G108" s="44">
        <v>45966</v>
      </c>
      <c r="H108" s="45" t="str">
        <f t="shared" si="9"/>
        <v>Delivered</v>
      </c>
      <c r="I108" s="48">
        <f t="shared" si="5"/>
        <v>5</v>
      </c>
      <c r="J108" s="48">
        <f t="shared" si="6"/>
        <v>3</v>
      </c>
      <c r="K108" s="48">
        <f t="shared" si="7"/>
        <v>4</v>
      </c>
      <c r="L108" s="39" t="s">
        <v>10</v>
      </c>
      <c r="M108" s="39" t="s">
        <v>42</v>
      </c>
      <c r="O108" s="39">
        <v>5</v>
      </c>
      <c r="P108" s="39">
        <v>3</v>
      </c>
      <c r="Q108" s="39">
        <v>4</v>
      </c>
      <c r="S108" s="51" t="str">
        <f t="shared" si="8"/>
        <v>Detractor</v>
      </c>
    </row>
    <row r="109" ht="14.25" customHeight="1" spans="1:19">
      <c r="A109" s="43" t="s">
        <v>151</v>
      </c>
      <c r="B109" s="43" t="s">
        <v>11</v>
      </c>
      <c r="C109" s="43" t="s">
        <v>22</v>
      </c>
      <c r="D109" s="44">
        <v>45948</v>
      </c>
      <c r="E109" s="44">
        <v>45953</v>
      </c>
      <c r="F109" s="44">
        <v>45954</v>
      </c>
      <c r="G109" s="44">
        <v>45957</v>
      </c>
      <c r="H109" s="45" t="str">
        <f t="shared" si="9"/>
        <v>Delivered</v>
      </c>
      <c r="I109" s="48">
        <f t="shared" si="5"/>
        <v>5</v>
      </c>
      <c r="J109" s="48">
        <f t="shared" si="6"/>
        <v>1</v>
      </c>
      <c r="K109" s="48">
        <f t="shared" si="7"/>
        <v>3</v>
      </c>
      <c r="L109" s="39" t="s">
        <v>9</v>
      </c>
      <c r="N109" s="44">
        <v>45972</v>
      </c>
      <c r="O109" s="39">
        <v>5</v>
      </c>
      <c r="P109" s="39">
        <v>1</v>
      </c>
      <c r="Q109" s="39">
        <v>3</v>
      </c>
      <c r="R109" s="39">
        <v>10</v>
      </c>
      <c r="S109" s="51" t="str">
        <f t="shared" si="8"/>
        <v>Promoter</v>
      </c>
    </row>
    <row r="110" ht="14.25" customHeight="1" spans="1:19">
      <c r="A110" s="43" t="s">
        <v>152</v>
      </c>
      <c r="B110" s="43" t="s">
        <v>13</v>
      </c>
      <c r="C110" s="43" t="s">
        <v>21</v>
      </c>
      <c r="D110" s="44">
        <v>45941</v>
      </c>
      <c r="E110" s="44">
        <v>45942</v>
      </c>
      <c r="F110" s="44">
        <v>45945</v>
      </c>
      <c r="G110" s="44">
        <v>45948</v>
      </c>
      <c r="H110" s="45" t="str">
        <f t="shared" si="9"/>
        <v>Delivered</v>
      </c>
      <c r="I110" s="48">
        <f t="shared" si="5"/>
        <v>1</v>
      </c>
      <c r="J110" s="48">
        <f t="shared" si="6"/>
        <v>3</v>
      </c>
      <c r="K110" s="48">
        <f t="shared" si="7"/>
        <v>3</v>
      </c>
      <c r="L110" s="39" t="s">
        <v>9</v>
      </c>
      <c r="N110" s="44">
        <v>45978</v>
      </c>
      <c r="O110" s="39">
        <v>1</v>
      </c>
      <c r="P110" s="39">
        <v>3</v>
      </c>
      <c r="Q110" s="39">
        <v>3</v>
      </c>
      <c r="R110" s="39">
        <v>4</v>
      </c>
      <c r="S110" s="51" t="str">
        <f t="shared" si="8"/>
        <v>Detractor</v>
      </c>
    </row>
    <row r="111" ht="14.25" customHeight="1" spans="1:19">
      <c r="A111" s="43" t="s">
        <v>153</v>
      </c>
      <c r="B111" s="43" t="s">
        <v>13</v>
      </c>
      <c r="C111" s="43" t="s">
        <v>20</v>
      </c>
      <c r="D111" s="44">
        <v>45942</v>
      </c>
      <c r="H111" s="45" t="str">
        <f t="shared" si="9"/>
        <v>Cancelled</v>
      </c>
      <c r="I111" s="48">
        <f t="shared" si="5"/>
        <v>0</v>
      </c>
      <c r="J111" s="48">
        <f t="shared" si="6"/>
        <v>0</v>
      </c>
      <c r="K111" s="48">
        <f t="shared" si="7"/>
        <v>0</v>
      </c>
      <c r="L111" s="39" t="s">
        <v>10</v>
      </c>
      <c r="M111" s="39" t="s">
        <v>117</v>
      </c>
      <c r="S111" s="51" t="str">
        <f t="shared" si="8"/>
        <v>Detractor</v>
      </c>
    </row>
    <row r="112" ht="14.25" customHeight="1" spans="1:19">
      <c r="A112" s="43" t="s">
        <v>154</v>
      </c>
      <c r="B112" s="43" t="s">
        <v>14</v>
      </c>
      <c r="C112" s="43" t="s">
        <v>20</v>
      </c>
      <c r="D112" s="44">
        <v>45953</v>
      </c>
      <c r="H112" s="45" t="str">
        <f t="shared" si="9"/>
        <v>Cancelled</v>
      </c>
      <c r="I112" s="48">
        <f t="shared" si="5"/>
        <v>0</v>
      </c>
      <c r="J112" s="48">
        <f t="shared" si="6"/>
        <v>0</v>
      </c>
      <c r="K112" s="48">
        <f t="shared" si="7"/>
        <v>0</v>
      </c>
      <c r="L112" s="39" t="s">
        <v>10</v>
      </c>
      <c r="M112" s="39" t="s">
        <v>79</v>
      </c>
      <c r="S112" s="51" t="str">
        <f t="shared" si="8"/>
        <v>Detractor</v>
      </c>
    </row>
    <row r="113" ht="14.25" customHeight="1" spans="1:19">
      <c r="A113" s="43" t="s">
        <v>155</v>
      </c>
      <c r="B113" s="43" t="s">
        <v>14</v>
      </c>
      <c r="C113" s="43" t="s">
        <v>22</v>
      </c>
      <c r="D113" s="44">
        <v>45945</v>
      </c>
      <c r="E113" s="44">
        <v>45946</v>
      </c>
      <c r="F113" s="44">
        <v>45947</v>
      </c>
      <c r="G113" s="44">
        <v>45951</v>
      </c>
      <c r="H113" s="45" t="str">
        <f t="shared" si="9"/>
        <v>Delivered</v>
      </c>
      <c r="I113" s="48">
        <f t="shared" si="5"/>
        <v>1</v>
      </c>
      <c r="J113" s="48">
        <f t="shared" si="6"/>
        <v>1</v>
      </c>
      <c r="K113" s="48">
        <f t="shared" si="7"/>
        <v>4</v>
      </c>
      <c r="L113" s="39" t="s">
        <v>9</v>
      </c>
      <c r="N113" s="44">
        <v>45963</v>
      </c>
      <c r="O113" s="39">
        <v>1</v>
      </c>
      <c r="P113" s="39">
        <v>1</v>
      </c>
      <c r="Q113" s="39">
        <v>4</v>
      </c>
      <c r="R113" s="39">
        <v>2</v>
      </c>
      <c r="S113" s="51" t="str">
        <f t="shared" si="8"/>
        <v>Detractor</v>
      </c>
    </row>
    <row r="114" ht="14.25" customHeight="1" spans="1:19">
      <c r="A114" s="43" t="s">
        <v>156</v>
      </c>
      <c r="B114" s="43" t="s">
        <v>14</v>
      </c>
      <c r="C114" s="43" t="s">
        <v>22</v>
      </c>
      <c r="D114" s="44">
        <v>45939</v>
      </c>
      <c r="E114" s="44">
        <v>45941</v>
      </c>
      <c r="F114" s="44">
        <v>45944</v>
      </c>
      <c r="G114" s="44">
        <v>45949</v>
      </c>
      <c r="H114" s="45" t="str">
        <f t="shared" si="9"/>
        <v>Delivered</v>
      </c>
      <c r="I114" s="48">
        <f t="shared" si="5"/>
        <v>2</v>
      </c>
      <c r="J114" s="48">
        <f t="shared" si="6"/>
        <v>3</v>
      </c>
      <c r="K114" s="48">
        <f t="shared" si="7"/>
        <v>5</v>
      </c>
      <c r="L114" s="39" t="s">
        <v>10</v>
      </c>
      <c r="M114" s="39" t="s">
        <v>49</v>
      </c>
      <c r="O114" s="39">
        <v>2</v>
      </c>
      <c r="P114" s="39">
        <v>3</v>
      </c>
      <c r="Q114" s="39">
        <v>5</v>
      </c>
      <c r="S114" s="51" t="str">
        <f t="shared" si="8"/>
        <v>Detractor</v>
      </c>
    </row>
    <row r="115" ht="14.25" customHeight="1" spans="1:19">
      <c r="A115" s="43" t="s">
        <v>157</v>
      </c>
      <c r="B115" s="43" t="s">
        <v>13</v>
      </c>
      <c r="C115" s="43" t="s">
        <v>21</v>
      </c>
      <c r="D115" s="44">
        <v>45940</v>
      </c>
      <c r="E115" s="44">
        <v>45942</v>
      </c>
      <c r="F115" s="44">
        <v>45946</v>
      </c>
      <c r="G115" s="44">
        <v>45952</v>
      </c>
      <c r="H115" s="45" t="str">
        <f t="shared" si="9"/>
        <v>Delivered</v>
      </c>
      <c r="I115" s="48">
        <f t="shared" si="5"/>
        <v>2</v>
      </c>
      <c r="J115" s="48">
        <f t="shared" si="6"/>
        <v>4</v>
      </c>
      <c r="K115" s="48">
        <f t="shared" si="7"/>
        <v>6</v>
      </c>
      <c r="L115" s="39" t="s">
        <v>9</v>
      </c>
      <c r="N115" s="44">
        <v>45982</v>
      </c>
      <c r="O115" s="39">
        <v>2</v>
      </c>
      <c r="P115" s="39">
        <v>4</v>
      </c>
      <c r="Q115" s="39">
        <v>6</v>
      </c>
      <c r="R115" s="39">
        <v>6</v>
      </c>
      <c r="S115" s="51" t="str">
        <f t="shared" si="8"/>
        <v>Detractor</v>
      </c>
    </row>
    <row r="116" ht="14.25" customHeight="1" spans="1:19">
      <c r="A116" s="43" t="s">
        <v>158</v>
      </c>
      <c r="B116" s="43" t="s">
        <v>12</v>
      </c>
      <c r="C116" s="43" t="s">
        <v>22</v>
      </c>
      <c r="D116" s="44">
        <v>45939</v>
      </c>
      <c r="E116" s="44">
        <v>45944</v>
      </c>
      <c r="F116" s="44">
        <v>45947</v>
      </c>
      <c r="G116" s="44">
        <v>45949</v>
      </c>
      <c r="H116" s="45" t="str">
        <f t="shared" si="9"/>
        <v>Delivered</v>
      </c>
      <c r="I116" s="48">
        <f t="shared" si="5"/>
        <v>5</v>
      </c>
      <c r="J116" s="48">
        <f t="shared" si="6"/>
        <v>3</v>
      </c>
      <c r="K116" s="48">
        <f t="shared" si="7"/>
        <v>2</v>
      </c>
      <c r="L116" s="39" t="s">
        <v>9</v>
      </c>
      <c r="N116" s="44">
        <v>45969</v>
      </c>
      <c r="O116" s="39">
        <v>5</v>
      </c>
      <c r="P116" s="39">
        <v>3</v>
      </c>
      <c r="Q116" s="39">
        <v>2</v>
      </c>
      <c r="R116" s="39">
        <v>10</v>
      </c>
      <c r="S116" s="51" t="str">
        <f t="shared" si="8"/>
        <v>Promoter</v>
      </c>
    </row>
    <row r="117" ht="14.25" customHeight="1" spans="1:19">
      <c r="A117" s="43" t="s">
        <v>159</v>
      </c>
      <c r="B117" s="43" t="s">
        <v>12</v>
      </c>
      <c r="C117" s="43" t="s">
        <v>21</v>
      </c>
      <c r="D117" s="44">
        <v>45938</v>
      </c>
      <c r="E117" s="44">
        <v>45939</v>
      </c>
      <c r="F117" s="44">
        <v>45943</v>
      </c>
      <c r="G117" s="44">
        <v>45947</v>
      </c>
      <c r="H117" s="45" t="str">
        <f t="shared" si="9"/>
        <v>Delivered</v>
      </c>
      <c r="I117" s="48">
        <f t="shared" si="5"/>
        <v>1</v>
      </c>
      <c r="J117" s="48">
        <f t="shared" si="6"/>
        <v>4</v>
      </c>
      <c r="K117" s="48">
        <f t="shared" si="7"/>
        <v>4</v>
      </c>
      <c r="L117" s="39" t="s">
        <v>9</v>
      </c>
      <c r="N117" s="44">
        <v>45971</v>
      </c>
      <c r="O117" s="39">
        <v>1</v>
      </c>
      <c r="P117" s="39">
        <v>4</v>
      </c>
      <c r="Q117" s="39">
        <v>4</v>
      </c>
      <c r="R117" s="39">
        <v>8</v>
      </c>
      <c r="S117" s="51" t="str">
        <f t="shared" si="8"/>
        <v>Passive</v>
      </c>
    </row>
    <row r="118" ht="14.25" customHeight="1" spans="1:19">
      <c r="A118" s="43" t="s">
        <v>160</v>
      </c>
      <c r="B118" s="43" t="s">
        <v>13</v>
      </c>
      <c r="C118" s="43" t="s">
        <v>20</v>
      </c>
      <c r="D118" s="44">
        <v>45934</v>
      </c>
      <c r="H118" s="45" t="str">
        <f t="shared" si="9"/>
        <v>Cancelled</v>
      </c>
      <c r="I118" s="48">
        <f t="shared" si="5"/>
        <v>0</v>
      </c>
      <c r="J118" s="48">
        <f t="shared" si="6"/>
        <v>0</v>
      </c>
      <c r="K118" s="48">
        <f t="shared" si="7"/>
        <v>0</v>
      </c>
      <c r="L118" s="39" t="s">
        <v>10</v>
      </c>
      <c r="M118" s="39" t="s">
        <v>49</v>
      </c>
      <c r="S118" s="51" t="str">
        <f t="shared" si="8"/>
        <v>Detractor</v>
      </c>
    </row>
    <row r="119" ht="14.25" customHeight="1" spans="1:19">
      <c r="A119" s="43" t="s">
        <v>161</v>
      </c>
      <c r="B119" s="43" t="s">
        <v>13</v>
      </c>
      <c r="C119" s="43" t="s">
        <v>21</v>
      </c>
      <c r="D119" s="44">
        <v>45954</v>
      </c>
      <c r="E119" s="44">
        <v>45955</v>
      </c>
      <c r="F119" s="44">
        <v>45957</v>
      </c>
      <c r="G119" s="44">
        <v>45959</v>
      </c>
      <c r="H119" s="45" t="str">
        <f t="shared" si="9"/>
        <v>Delivered</v>
      </c>
      <c r="I119" s="48">
        <f t="shared" si="5"/>
        <v>1</v>
      </c>
      <c r="J119" s="48">
        <f t="shared" si="6"/>
        <v>2</v>
      </c>
      <c r="K119" s="48">
        <f t="shared" si="7"/>
        <v>2</v>
      </c>
      <c r="L119" s="39" t="s">
        <v>9</v>
      </c>
      <c r="N119" s="44">
        <v>45969</v>
      </c>
      <c r="O119" s="39">
        <v>1</v>
      </c>
      <c r="P119" s="39">
        <v>2</v>
      </c>
      <c r="Q119" s="39">
        <v>2</v>
      </c>
      <c r="R119" s="39">
        <v>1</v>
      </c>
      <c r="S119" s="51" t="str">
        <f t="shared" si="8"/>
        <v>Detractor</v>
      </c>
    </row>
    <row r="120" ht="14.25" customHeight="1" spans="1:19">
      <c r="A120" s="43" t="s">
        <v>162</v>
      </c>
      <c r="B120" s="43" t="s">
        <v>13</v>
      </c>
      <c r="C120" s="43" t="s">
        <v>22</v>
      </c>
      <c r="D120" s="44">
        <v>45937</v>
      </c>
      <c r="E120" s="44">
        <v>45940</v>
      </c>
      <c r="F120" s="44">
        <v>45942</v>
      </c>
      <c r="G120" s="44">
        <v>45947</v>
      </c>
      <c r="H120" s="45" t="str">
        <f t="shared" si="9"/>
        <v>Delivered</v>
      </c>
      <c r="I120" s="48">
        <f t="shared" si="5"/>
        <v>3</v>
      </c>
      <c r="J120" s="48">
        <f t="shared" si="6"/>
        <v>2</v>
      </c>
      <c r="K120" s="48">
        <f t="shared" si="7"/>
        <v>5</v>
      </c>
      <c r="L120" s="39" t="s">
        <v>9</v>
      </c>
      <c r="N120" s="44">
        <v>45965</v>
      </c>
      <c r="O120" s="39">
        <v>3</v>
      </c>
      <c r="P120" s="39">
        <v>2</v>
      </c>
      <c r="Q120" s="39">
        <v>5</v>
      </c>
      <c r="R120" s="39">
        <v>5</v>
      </c>
      <c r="S120" s="51" t="str">
        <f t="shared" si="8"/>
        <v>Detractor</v>
      </c>
    </row>
    <row r="121" ht="14.25" customHeight="1" spans="1:19">
      <c r="A121" s="43" t="s">
        <v>163</v>
      </c>
      <c r="B121" s="43" t="s">
        <v>13</v>
      </c>
      <c r="C121" s="43" t="s">
        <v>20</v>
      </c>
      <c r="D121" s="44">
        <v>45941</v>
      </c>
      <c r="H121" s="45" t="str">
        <f t="shared" si="9"/>
        <v>Cancelled</v>
      </c>
      <c r="I121" s="48">
        <f t="shared" si="5"/>
        <v>0</v>
      </c>
      <c r="J121" s="48">
        <f t="shared" si="6"/>
        <v>0</v>
      </c>
      <c r="K121" s="48">
        <f t="shared" si="7"/>
        <v>0</v>
      </c>
      <c r="L121" s="39" t="s">
        <v>10</v>
      </c>
      <c r="M121" s="39" t="s">
        <v>42</v>
      </c>
      <c r="S121" s="51" t="str">
        <f t="shared" si="8"/>
        <v>Detractor</v>
      </c>
    </row>
    <row r="122" ht="14.25" customHeight="1" spans="1:19">
      <c r="A122" s="43" t="s">
        <v>164</v>
      </c>
      <c r="B122" s="43" t="s">
        <v>13</v>
      </c>
      <c r="C122" s="43" t="s">
        <v>22</v>
      </c>
      <c r="D122" s="44">
        <v>45934</v>
      </c>
      <c r="E122" s="44">
        <v>45938</v>
      </c>
      <c r="F122" s="44">
        <v>45943</v>
      </c>
      <c r="G122" s="44">
        <v>45946</v>
      </c>
      <c r="H122" s="45" t="str">
        <f t="shared" si="9"/>
        <v>Delivered</v>
      </c>
      <c r="I122" s="48">
        <f t="shared" si="5"/>
        <v>4</v>
      </c>
      <c r="J122" s="48">
        <f t="shared" si="6"/>
        <v>5</v>
      </c>
      <c r="K122" s="48">
        <f t="shared" si="7"/>
        <v>3</v>
      </c>
      <c r="L122" s="39" t="s">
        <v>9</v>
      </c>
      <c r="N122" s="44">
        <v>45962</v>
      </c>
      <c r="O122" s="39">
        <v>4</v>
      </c>
      <c r="P122" s="39">
        <v>5</v>
      </c>
      <c r="Q122" s="39">
        <v>3</v>
      </c>
      <c r="R122" s="39">
        <v>1</v>
      </c>
      <c r="S122" s="51" t="str">
        <f t="shared" si="8"/>
        <v>Detractor</v>
      </c>
    </row>
    <row r="123" ht="14.25" customHeight="1" spans="1:19">
      <c r="A123" s="43" t="s">
        <v>165</v>
      </c>
      <c r="B123" s="43" t="s">
        <v>13</v>
      </c>
      <c r="C123" s="43" t="s">
        <v>21</v>
      </c>
      <c r="D123" s="44">
        <v>45954</v>
      </c>
      <c r="E123" s="44">
        <v>45958</v>
      </c>
      <c r="F123" s="44">
        <v>45961</v>
      </c>
      <c r="G123" s="44">
        <v>45964</v>
      </c>
      <c r="H123" s="45" t="str">
        <f t="shared" si="9"/>
        <v>Delivered</v>
      </c>
      <c r="I123" s="48">
        <f t="shared" si="5"/>
        <v>4</v>
      </c>
      <c r="J123" s="48">
        <f t="shared" si="6"/>
        <v>3</v>
      </c>
      <c r="K123" s="48">
        <f t="shared" si="7"/>
        <v>3</v>
      </c>
      <c r="L123" s="39" t="s">
        <v>9</v>
      </c>
      <c r="N123" s="44">
        <v>45981</v>
      </c>
      <c r="O123" s="39">
        <v>4</v>
      </c>
      <c r="P123" s="39">
        <v>3</v>
      </c>
      <c r="Q123" s="39">
        <v>3</v>
      </c>
      <c r="R123" s="39">
        <v>2</v>
      </c>
      <c r="S123" s="51" t="str">
        <f t="shared" si="8"/>
        <v>Detractor</v>
      </c>
    </row>
    <row r="124" ht="14.25" customHeight="1" spans="1:19">
      <c r="A124" s="43" t="s">
        <v>166</v>
      </c>
      <c r="B124" s="43" t="s">
        <v>14</v>
      </c>
      <c r="C124" s="43" t="s">
        <v>21</v>
      </c>
      <c r="D124" s="44">
        <v>45948</v>
      </c>
      <c r="E124" s="44">
        <v>45952</v>
      </c>
      <c r="F124" s="44">
        <v>45957</v>
      </c>
      <c r="G124" s="44">
        <v>45962</v>
      </c>
      <c r="H124" s="45" t="str">
        <f t="shared" si="9"/>
        <v>Delivered</v>
      </c>
      <c r="I124" s="48">
        <f t="shared" si="5"/>
        <v>4</v>
      </c>
      <c r="J124" s="48">
        <f t="shared" si="6"/>
        <v>5</v>
      </c>
      <c r="K124" s="48">
        <f t="shared" si="7"/>
        <v>5</v>
      </c>
      <c r="L124" s="39" t="s">
        <v>9</v>
      </c>
      <c r="N124" s="44">
        <v>45974</v>
      </c>
      <c r="O124" s="39">
        <v>4</v>
      </c>
      <c r="P124" s="39">
        <v>5</v>
      </c>
      <c r="Q124" s="39">
        <v>5</v>
      </c>
      <c r="R124" s="39">
        <v>6</v>
      </c>
      <c r="S124" s="51" t="str">
        <f t="shared" si="8"/>
        <v>Detractor</v>
      </c>
    </row>
    <row r="125" ht="14.25" customHeight="1" spans="1:19">
      <c r="A125" s="43" t="s">
        <v>167</v>
      </c>
      <c r="B125" s="43" t="s">
        <v>14</v>
      </c>
      <c r="C125" s="43" t="s">
        <v>21</v>
      </c>
      <c r="D125" s="44">
        <v>45961</v>
      </c>
      <c r="E125" s="44">
        <v>45966</v>
      </c>
      <c r="F125" s="44">
        <v>45969</v>
      </c>
      <c r="G125" s="44">
        <v>45975</v>
      </c>
      <c r="H125" s="45" t="str">
        <f t="shared" si="9"/>
        <v>Delivered</v>
      </c>
      <c r="I125" s="48">
        <f t="shared" si="5"/>
        <v>5</v>
      </c>
      <c r="J125" s="48">
        <f t="shared" si="6"/>
        <v>3</v>
      </c>
      <c r="K125" s="48">
        <f t="shared" si="7"/>
        <v>6</v>
      </c>
      <c r="L125" s="39" t="s">
        <v>9</v>
      </c>
      <c r="N125" s="44">
        <v>45996</v>
      </c>
      <c r="O125" s="39">
        <v>5</v>
      </c>
      <c r="P125" s="39">
        <v>3</v>
      </c>
      <c r="Q125" s="39">
        <v>6</v>
      </c>
      <c r="R125" s="39">
        <v>5</v>
      </c>
      <c r="S125" s="51" t="str">
        <f t="shared" si="8"/>
        <v>Detractor</v>
      </c>
    </row>
    <row r="126" ht="14.25" customHeight="1" spans="1:19">
      <c r="A126" s="43" t="s">
        <v>168</v>
      </c>
      <c r="B126" s="43" t="s">
        <v>14</v>
      </c>
      <c r="C126" s="43" t="s">
        <v>22</v>
      </c>
      <c r="D126" s="44">
        <v>45955</v>
      </c>
      <c r="E126" s="44">
        <v>45959</v>
      </c>
      <c r="F126" s="44">
        <v>45961</v>
      </c>
      <c r="G126" s="44">
        <v>45967</v>
      </c>
      <c r="H126" s="45" t="str">
        <f t="shared" si="9"/>
        <v>Delivered</v>
      </c>
      <c r="I126" s="48">
        <f t="shared" si="5"/>
        <v>4</v>
      </c>
      <c r="J126" s="48">
        <f t="shared" si="6"/>
        <v>2</v>
      </c>
      <c r="K126" s="48">
        <f t="shared" si="7"/>
        <v>6</v>
      </c>
      <c r="L126" s="39" t="s">
        <v>9</v>
      </c>
      <c r="N126" s="44">
        <v>45985</v>
      </c>
      <c r="O126" s="39">
        <v>4</v>
      </c>
      <c r="P126" s="39">
        <v>2</v>
      </c>
      <c r="Q126" s="39">
        <v>6</v>
      </c>
      <c r="R126" s="39">
        <v>4</v>
      </c>
      <c r="S126" s="51" t="str">
        <f t="shared" si="8"/>
        <v>Detractor</v>
      </c>
    </row>
    <row r="127" ht="14.25" customHeight="1" spans="1:19">
      <c r="A127" s="43" t="s">
        <v>169</v>
      </c>
      <c r="B127" s="43" t="s">
        <v>14</v>
      </c>
      <c r="C127" s="43" t="s">
        <v>21</v>
      </c>
      <c r="D127" s="44">
        <v>45953</v>
      </c>
      <c r="E127" s="44">
        <v>45957</v>
      </c>
      <c r="F127" s="44">
        <v>45958</v>
      </c>
      <c r="G127" s="44">
        <v>45965</v>
      </c>
      <c r="H127" s="45" t="str">
        <f t="shared" si="9"/>
        <v>Delivered</v>
      </c>
      <c r="I127" s="48">
        <f t="shared" si="5"/>
        <v>4</v>
      </c>
      <c r="J127" s="48">
        <f t="shared" si="6"/>
        <v>1</v>
      </c>
      <c r="K127" s="48">
        <f t="shared" si="7"/>
        <v>7</v>
      </c>
      <c r="L127" s="39" t="s">
        <v>9</v>
      </c>
      <c r="N127" s="44">
        <v>45978</v>
      </c>
      <c r="O127" s="39">
        <v>4</v>
      </c>
      <c r="P127" s="39">
        <v>1</v>
      </c>
      <c r="Q127" s="39">
        <v>7</v>
      </c>
      <c r="R127" s="39">
        <v>0</v>
      </c>
      <c r="S127" s="51" t="str">
        <f t="shared" si="8"/>
        <v>Detractor</v>
      </c>
    </row>
    <row r="128" ht="14.25" customHeight="1" spans="1:19">
      <c r="A128" s="43" t="s">
        <v>170</v>
      </c>
      <c r="B128" s="43" t="s">
        <v>13</v>
      </c>
      <c r="C128" s="43" t="s">
        <v>22</v>
      </c>
      <c r="D128" s="44">
        <v>45936</v>
      </c>
      <c r="E128" s="44">
        <v>45939</v>
      </c>
      <c r="F128" s="44">
        <v>45944</v>
      </c>
      <c r="G128" s="44">
        <v>45949</v>
      </c>
      <c r="H128" s="45" t="str">
        <f t="shared" si="9"/>
        <v>Delivered</v>
      </c>
      <c r="I128" s="48">
        <f t="shared" si="5"/>
        <v>3</v>
      </c>
      <c r="J128" s="48">
        <f t="shared" si="6"/>
        <v>5</v>
      </c>
      <c r="K128" s="48">
        <f t="shared" si="7"/>
        <v>5</v>
      </c>
      <c r="L128" s="39" t="s">
        <v>9</v>
      </c>
      <c r="N128" s="44">
        <v>45959</v>
      </c>
      <c r="O128" s="39">
        <v>3</v>
      </c>
      <c r="P128" s="39">
        <v>5</v>
      </c>
      <c r="Q128" s="39">
        <v>5</v>
      </c>
      <c r="R128" s="39">
        <v>4</v>
      </c>
      <c r="S128" s="51" t="str">
        <f t="shared" si="8"/>
        <v>Detractor</v>
      </c>
    </row>
    <row r="129" ht="14.25" customHeight="1" spans="1:19">
      <c r="A129" s="43" t="s">
        <v>171</v>
      </c>
      <c r="B129" s="43" t="s">
        <v>12</v>
      </c>
      <c r="C129" s="43" t="s">
        <v>20</v>
      </c>
      <c r="D129" s="44">
        <v>45937</v>
      </c>
      <c r="H129" s="45" t="str">
        <f t="shared" si="9"/>
        <v>Cancelled</v>
      </c>
      <c r="I129" s="48">
        <f t="shared" si="5"/>
        <v>0</v>
      </c>
      <c r="J129" s="48">
        <f t="shared" si="6"/>
        <v>0</v>
      </c>
      <c r="K129" s="48">
        <f t="shared" si="7"/>
        <v>0</v>
      </c>
      <c r="L129" s="39" t="s">
        <v>10</v>
      </c>
      <c r="M129" s="39" t="s">
        <v>79</v>
      </c>
      <c r="S129" s="51" t="str">
        <f t="shared" si="8"/>
        <v>Detractor</v>
      </c>
    </row>
    <row r="130" ht="14.25" customHeight="1" spans="1:19">
      <c r="A130" s="43" t="s">
        <v>172</v>
      </c>
      <c r="B130" s="43" t="s">
        <v>11</v>
      </c>
      <c r="C130" s="43" t="s">
        <v>21</v>
      </c>
      <c r="D130" s="44">
        <v>45937</v>
      </c>
      <c r="E130" s="44">
        <v>45939</v>
      </c>
      <c r="F130" s="44">
        <v>45944</v>
      </c>
      <c r="G130" s="44">
        <v>45949</v>
      </c>
      <c r="H130" s="45" t="str">
        <f t="shared" si="9"/>
        <v>Delivered</v>
      </c>
      <c r="I130" s="48">
        <f t="shared" si="5"/>
        <v>2</v>
      </c>
      <c r="J130" s="48">
        <f t="shared" si="6"/>
        <v>5</v>
      </c>
      <c r="K130" s="48">
        <f t="shared" si="7"/>
        <v>5</v>
      </c>
      <c r="L130" s="39" t="s">
        <v>9</v>
      </c>
      <c r="N130" s="44">
        <v>45960</v>
      </c>
      <c r="O130" s="39">
        <v>2</v>
      </c>
      <c r="P130" s="39">
        <v>5</v>
      </c>
      <c r="Q130" s="39">
        <v>5</v>
      </c>
      <c r="R130" s="39">
        <v>4</v>
      </c>
      <c r="S130" s="51" t="str">
        <f t="shared" si="8"/>
        <v>Detractor</v>
      </c>
    </row>
    <row r="131" ht="14.25" customHeight="1" spans="1:19">
      <c r="A131" s="43" t="s">
        <v>173</v>
      </c>
      <c r="B131" s="43" t="s">
        <v>13</v>
      </c>
      <c r="C131" s="43" t="s">
        <v>20</v>
      </c>
      <c r="D131" s="44">
        <v>45954</v>
      </c>
      <c r="H131" s="45" t="str">
        <f t="shared" si="9"/>
        <v>Cancelled</v>
      </c>
      <c r="I131" s="48">
        <f t="shared" ref="I131:I194" si="10">IF(E131&gt;D131,E131-D131,0)</f>
        <v>0</v>
      </c>
      <c r="J131" s="48">
        <f t="shared" ref="J131:J194" si="11">IF(F131&gt;E131,F131-E131,0)</f>
        <v>0</v>
      </c>
      <c r="K131" s="48">
        <f t="shared" ref="K131:K194" si="12">IF(G131&gt;F131,G131-F131,0)</f>
        <v>0</v>
      </c>
      <c r="L131" s="39" t="s">
        <v>10</v>
      </c>
      <c r="M131" s="39" t="s">
        <v>79</v>
      </c>
      <c r="S131" s="51" t="str">
        <f t="shared" ref="S131:S194" si="13">IF(R131&gt;=9,"Promoter",IF(R131&gt;=7,"Passive","Detractor"))</f>
        <v>Detractor</v>
      </c>
    </row>
    <row r="132" ht="14.25" customHeight="1" spans="1:19">
      <c r="A132" s="43" t="s">
        <v>174</v>
      </c>
      <c r="B132" s="43" t="s">
        <v>11</v>
      </c>
      <c r="C132" s="43" t="s">
        <v>20</v>
      </c>
      <c r="D132" s="44">
        <v>45946</v>
      </c>
      <c r="H132" s="45" t="str">
        <f t="shared" si="9"/>
        <v>Cancelled</v>
      </c>
      <c r="I132" s="48">
        <f t="shared" si="10"/>
        <v>0</v>
      </c>
      <c r="J132" s="48">
        <f t="shared" si="11"/>
        <v>0</v>
      </c>
      <c r="K132" s="48">
        <f t="shared" si="12"/>
        <v>0</v>
      </c>
      <c r="L132" s="39" t="s">
        <v>10</v>
      </c>
      <c r="M132" s="39" t="s">
        <v>117</v>
      </c>
      <c r="S132" s="51" t="str">
        <f t="shared" si="13"/>
        <v>Detractor</v>
      </c>
    </row>
    <row r="133" ht="14.25" customHeight="1" spans="1:19">
      <c r="A133" s="43" t="s">
        <v>175</v>
      </c>
      <c r="B133" s="43" t="s">
        <v>12</v>
      </c>
      <c r="C133" s="43" t="s">
        <v>21</v>
      </c>
      <c r="D133" s="44">
        <v>45939</v>
      </c>
      <c r="E133" s="44">
        <v>45944</v>
      </c>
      <c r="F133" s="44">
        <v>45946</v>
      </c>
      <c r="G133" s="44">
        <v>45953</v>
      </c>
      <c r="H133" s="45" t="str">
        <f t="shared" ref="H133:H196" si="14">IF(G133&lt;&gt;"","Delivered",IF(F133&lt;&gt;"","Booked",IF(E133&lt;&gt;"","Pre-Booked",IF(D133&lt;&gt;"","Cancelled",""))))</f>
        <v>Delivered</v>
      </c>
      <c r="I133" s="48">
        <f t="shared" si="10"/>
        <v>5</v>
      </c>
      <c r="J133" s="48">
        <f t="shared" si="11"/>
        <v>2</v>
      </c>
      <c r="K133" s="48">
        <f t="shared" si="12"/>
        <v>7</v>
      </c>
      <c r="L133" s="39" t="s">
        <v>9</v>
      </c>
      <c r="N133" s="44">
        <v>45975</v>
      </c>
      <c r="O133" s="39">
        <v>5</v>
      </c>
      <c r="P133" s="39">
        <v>2</v>
      </c>
      <c r="Q133" s="39">
        <v>7</v>
      </c>
      <c r="R133" s="39">
        <v>4</v>
      </c>
      <c r="S133" s="51" t="str">
        <f t="shared" si="13"/>
        <v>Detractor</v>
      </c>
    </row>
    <row r="134" ht="14.25" customHeight="1" spans="1:19">
      <c r="A134" s="43" t="s">
        <v>176</v>
      </c>
      <c r="B134" s="43" t="s">
        <v>14</v>
      </c>
      <c r="C134" s="43" t="s">
        <v>20</v>
      </c>
      <c r="D134" s="44">
        <v>45954</v>
      </c>
      <c r="H134" s="45" t="str">
        <f t="shared" si="14"/>
        <v>Cancelled</v>
      </c>
      <c r="I134" s="48">
        <f t="shared" si="10"/>
        <v>0</v>
      </c>
      <c r="J134" s="48">
        <f t="shared" si="11"/>
        <v>0</v>
      </c>
      <c r="K134" s="48">
        <f t="shared" si="12"/>
        <v>0</v>
      </c>
      <c r="L134" s="39" t="s">
        <v>10</v>
      </c>
      <c r="M134" s="39" t="s">
        <v>79</v>
      </c>
      <c r="S134" s="51" t="str">
        <f t="shared" si="13"/>
        <v>Detractor</v>
      </c>
    </row>
    <row r="135" ht="14.25" customHeight="1" spans="1:19">
      <c r="A135" s="43" t="s">
        <v>177</v>
      </c>
      <c r="B135" s="43" t="s">
        <v>12</v>
      </c>
      <c r="C135" s="43" t="s">
        <v>22</v>
      </c>
      <c r="D135" s="44">
        <v>45949</v>
      </c>
      <c r="E135" s="44">
        <v>45950</v>
      </c>
      <c r="F135" s="44">
        <v>45952</v>
      </c>
      <c r="G135" s="44">
        <v>45957</v>
      </c>
      <c r="H135" s="45" t="str">
        <f t="shared" si="14"/>
        <v>Delivered</v>
      </c>
      <c r="I135" s="48">
        <f t="shared" si="10"/>
        <v>1</v>
      </c>
      <c r="J135" s="48">
        <f t="shared" si="11"/>
        <v>2</v>
      </c>
      <c r="K135" s="48">
        <f t="shared" si="12"/>
        <v>5</v>
      </c>
      <c r="L135" s="39" t="s">
        <v>9</v>
      </c>
      <c r="N135" s="44">
        <v>45981</v>
      </c>
      <c r="O135" s="39">
        <v>1</v>
      </c>
      <c r="P135" s="39">
        <v>2</v>
      </c>
      <c r="Q135" s="39">
        <v>5</v>
      </c>
      <c r="R135" s="39">
        <v>2</v>
      </c>
      <c r="S135" s="51" t="str">
        <f t="shared" si="13"/>
        <v>Detractor</v>
      </c>
    </row>
    <row r="136" ht="14.25" customHeight="1" spans="1:19">
      <c r="A136" s="43" t="s">
        <v>178</v>
      </c>
      <c r="B136" s="43" t="s">
        <v>13</v>
      </c>
      <c r="C136" s="43" t="s">
        <v>20</v>
      </c>
      <c r="D136" s="44">
        <v>45955</v>
      </c>
      <c r="H136" s="45" t="str">
        <f t="shared" si="14"/>
        <v>Cancelled</v>
      </c>
      <c r="I136" s="48">
        <f t="shared" si="10"/>
        <v>0</v>
      </c>
      <c r="J136" s="48">
        <f t="shared" si="11"/>
        <v>0</v>
      </c>
      <c r="K136" s="48">
        <f t="shared" si="12"/>
        <v>0</v>
      </c>
      <c r="L136" s="39" t="s">
        <v>10</v>
      </c>
      <c r="M136" s="39" t="s">
        <v>44</v>
      </c>
      <c r="S136" s="51" t="str">
        <f t="shared" si="13"/>
        <v>Detractor</v>
      </c>
    </row>
    <row r="137" ht="14.25" customHeight="1" spans="1:19">
      <c r="A137" s="43" t="s">
        <v>179</v>
      </c>
      <c r="B137" s="43" t="s">
        <v>14</v>
      </c>
      <c r="C137" s="43" t="s">
        <v>22</v>
      </c>
      <c r="D137" s="44">
        <v>45947</v>
      </c>
      <c r="E137" s="44">
        <v>45950</v>
      </c>
      <c r="F137" s="44">
        <v>45951</v>
      </c>
      <c r="G137" s="44">
        <v>45956</v>
      </c>
      <c r="H137" s="45" t="str">
        <f t="shared" si="14"/>
        <v>Delivered</v>
      </c>
      <c r="I137" s="48">
        <f t="shared" si="10"/>
        <v>3</v>
      </c>
      <c r="J137" s="48">
        <f t="shared" si="11"/>
        <v>1</v>
      </c>
      <c r="K137" s="48">
        <f t="shared" si="12"/>
        <v>5</v>
      </c>
      <c r="L137" s="39" t="s">
        <v>9</v>
      </c>
      <c r="N137" s="44">
        <v>45979</v>
      </c>
      <c r="O137" s="39">
        <v>3</v>
      </c>
      <c r="P137" s="39">
        <v>1</v>
      </c>
      <c r="Q137" s="39">
        <v>5</v>
      </c>
      <c r="R137" s="39">
        <v>3</v>
      </c>
      <c r="S137" s="51" t="str">
        <f t="shared" si="13"/>
        <v>Detractor</v>
      </c>
    </row>
    <row r="138" ht="14.25" customHeight="1" spans="1:19">
      <c r="A138" s="43" t="s">
        <v>180</v>
      </c>
      <c r="B138" s="43" t="s">
        <v>13</v>
      </c>
      <c r="C138" s="43" t="s">
        <v>22</v>
      </c>
      <c r="D138" s="44">
        <v>45950</v>
      </c>
      <c r="E138" s="44">
        <v>45954</v>
      </c>
      <c r="F138" s="44">
        <v>45959</v>
      </c>
      <c r="G138" s="44">
        <v>45966</v>
      </c>
      <c r="H138" s="45" t="str">
        <f t="shared" si="14"/>
        <v>Delivered</v>
      </c>
      <c r="I138" s="48">
        <f t="shared" si="10"/>
        <v>4</v>
      </c>
      <c r="J138" s="48">
        <f t="shared" si="11"/>
        <v>5</v>
      </c>
      <c r="K138" s="48">
        <f t="shared" si="12"/>
        <v>7</v>
      </c>
      <c r="L138" s="39" t="s">
        <v>9</v>
      </c>
      <c r="N138" s="44">
        <v>45981</v>
      </c>
      <c r="O138" s="39">
        <v>4</v>
      </c>
      <c r="P138" s="39">
        <v>5</v>
      </c>
      <c r="Q138" s="39">
        <v>7</v>
      </c>
      <c r="R138" s="39">
        <v>0</v>
      </c>
      <c r="S138" s="51" t="str">
        <f t="shared" si="13"/>
        <v>Detractor</v>
      </c>
    </row>
    <row r="139" ht="14.25" customHeight="1" spans="1:19">
      <c r="A139" s="43" t="s">
        <v>181</v>
      </c>
      <c r="B139" s="43" t="s">
        <v>14</v>
      </c>
      <c r="C139" s="43" t="s">
        <v>22</v>
      </c>
      <c r="D139" s="44">
        <v>45940</v>
      </c>
      <c r="E139" s="44">
        <v>45941</v>
      </c>
      <c r="F139" s="44">
        <v>45943</v>
      </c>
      <c r="G139" s="44">
        <v>45948</v>
      </c>
      <c r="H139" s="45" t="str">
        <f t="shared" si="14"/>
        <v>Delivered</v>
      </c>
      <c r="I139" s="48">
        <f t="shared" si="10"/>
        <v>1</v>
      </c>
      <c r="J139" s="48">
        <f t="shared" si="11"/>
        <v>2</v>
      </c>
      <c r="K139" s="48">
        <f t="shared" si="12"/>
        <v>5</v>
      </c>
      <c r="L139" s="39" t="s">
        <v>10</v>
      </c>
      <c r="M139" s="39" t="s">
        <v>117</v>
      </c>
      <c r="O139" s="39">
        <v>1</v>
      </c>
      <c r="P139" s="39">
        <v>2</v>
      </c>
      <c r="Q139" s="39">
        <v>5</v>
      </c>
      <c r="S139" s="51" t="str">
        <f t="shared" si="13"/>
        <v>Detractor</v>
      </c>
    </row>
    <row r="140" ht="14.25" customHeight="1" spans="1:19">
      <c r="A140" s="43" t="s">
        <v>182</v>
      </c>
      <c r="B140" s="43" t="s">
        <v>11</v>
      </c>
      <c r="C140" s="43" t="s">
        <v>20</v>
      </c>
      <c r="D140" s="44">
        <v>45934</v>
      </c>
      <c r="H140" s="45" t="str">
        <f t="shared" si="14"/>
        <v>Cancelled</v>
      </c>
      <c r="I140" s="48">
        <f t="shared" si="10"/>
        <v>0</v>
      </c>
      <c r="J140" s="48">
        <f t="shared" si="11"/>
        <v>0</v>
      </c>
      <c r="K140" s="48">
        <f t="shared" si="12"/>
        <v>0</v>
      </c>
      <c r="L140" s="39" t="s">
        <v>10</v>
      </c>
      <c r="M140" s="39" t="s">
        <v>44</v>
      </c>
      <c r="S140" s="51" t="str">
        <f t="shared" si="13"/>
        <v>Detractor</v>
      </c>
    </row>
    <row r="141" ht="14.25" customHeight="1" spans="1:19">
      <c r="A141" s="43" t="s">
        <v>183</v>
      </c>
      <c r="B141" s="43" t="s">
        <v>11</v>
      </c>
      <c r="C141" s="43" t="s">
        <v>22</v>
      </c>
      <c r="D141" s="44">
        <v>45957</v>
      </c>
      <c r="E141" s="44">
        <v>45960</v>
      </c>
      <c r="F141" s="44">
        <v>45962</v>
      </c>
      <c r="G141" s="44">
        <v>45967</v>
      </c>
      <c r="H141" s="45" t="str">
        <f t="shared" si="14"/>
        <v>Delivered</v>
      </c>
      <c r="I141" s="48">
        <f t="shared" si="10"/>
        <v>3</v>
      </c>
      <c r="J141" s="48">
        <f t="shared" si="11"/>
        <v>2</v>
      </c>
      <c r="K141" s="48">
        <f t="shared" si="12"/>
        <v>5</v>
      </c>
      <c r="L141" s="39" t="s">
        <v>9</v>
      </c>
      <c r="N141" s="44">
        <v>45990</v>
      </c>
      <c r="O141" s="39">
        <v>3</v>
      </c>
      <c r="P141" s="39">
        <v>2</v>
      </c>
      <c r="Q141" s="39">
        <v>5</v>
      </c>
      <c r="R141" s="39">
        <v>5</v>
      </c>
      <c r="S141" s="51" t="str">
        <f t="shared" si="13"/>
        <v>Detractor</v>
      </c>
    </row>
    <row r="142" ht="14.25" customHeight="1" spans="1:19">
      <c r="A142" s="43" t="s">
        <v>184</v>
      </c>
      <c r="B142" s="43" t="s">
        <v>11</v>
      </c>
      <c r="C142" s="43" t="s">
        <v>22</v>
      </c>
      <c r="D142" s="44">
        <v>45937</v>
      </c>
      <c r="E142" s="44">
        <v>45942</v>
      </c>
      <c r="F142" s="44">
        <v>45943</v>
      </c>
      <c r="G142" s="44">
        <v>45946</v>
      </c>
      <c r="H142" s="45" t="str">
        <f t="shared" si="14"/>
        <v>Delivered</v>
      </c>
      <c r="I142" s="48">
        <f t="shared" si="10"/>
        <v>5</v>
      </c>
      <c r="J142" s="48">
        <f t="shared" si="11"/>
        <v>1</v>
      </c>
      <c r="K142" s="48">
        <f t="shared" si="12"/>
        <v>3</v>
      </c>
      <c r="L142" s="39" t="s">
        <v>9</v>
      </c>
      <c r="N142" s="44">
        <v>45971</v>
      </c>
      <c r="O142" s="39">
        <v>5</v>
      </c>
      <c r="P142" s="39">
        <v>1</v>
      </c>
      <c r="Q142" s="39">
        <v>3</v>
      </c>
      <c r="R142" s="39">
        <v>0</v>
      </c>
      <c r="S142" s="51" t="str">
        <f t="shared" si="13"/>
        <v>Detractor</v>
      </c>
    </row>
    <row r="143" ht="14.25" customHeight="1" spans="1:19">
      <c r="A143" s="43" t="s">
        <v>185</v>
      </c>
      <c r="B143" s="43" t="s">
        <v>12</v>
      </c>
      <c r="C143" s="43" t="s">
        <v>20</v>
      </c>
      <c r="D143" s="44">
        <v>45940</v>
      </c>
      <c r="H143" s="45" t="str">
        <f t="shared" si="14"/>
        <v>Cancelled</v>
      </c>
      <c r="I143" s="48">
        <f t="shared" si="10"/>
        <v>0</v>
      </c>
      <c r="J143" s="48">
        <f t="shared" si="11"/>
        <v>0</v>
      </c>
      <c r="K143" s="48">
        <f t="shared" si="12"/>
        <v>0</v>
      </c>
      <c r="L143" s="39" t="s">
        <v>10</v>
      </c>
      <c r="M143" s="39" t="s">
        <v>42</v>
      </c>
      <c r="S143" s="51" t="str">
        <f t="shared" si="13"/>
        <v>Detractor</v>
      </c>
    </row>
    <row r="144" ht="14.25" customHeight="1" spans="1:19">
      <c r="A144" s="43" t="s">
        <v>186</v>
      </c>
      <c r="B144" s="43" t="s">
        <v>13</v>
      </c>
      <c r="C144" s="43" t="s">
        <v>21</v>
      </c>
      <c r="D144" s="44">
        <v>45938</v>
      </c>
      <c r="E144" s="44">
        <v>45942</v>
      </c>
      <c r="F144" s="44">
        <v>45943</v>
      </c>
      <c r="G144" s="44">
        <v>45945</v>
      </c>
      <c r="H144" s="45" t="str">
        <f t="shared" si="14"/>
        <v>Delivered</v>
      </c>
      <c r="I144" s="48">
        <f t="shared" si="10"/>
        <v>4</v>
      </c>
      <c r="J144" s="48">
        <f t="shared" si="11"/>
        <v>1</v>
      </c>
      <c r="K144" s="48">
        <f t="shared" si="12"/>
        <v>2</v>
      </c>
      <c r="L144" s="39" t="s">
        <v>9</v>
      </c>
      <c r="N144" s="44">
        <v>45967</v>
      </c>
      <c r="O144" s="39">
        <v>4</v>
      </c>
      <c r="P144" s="39">
        <v>1</v>
      </c>
      <c r="Q144" s="39">
        <v>2</v>
      </c>
      <c r="R144" s="39">
        <v>4</v>
      </c>
      <c r="S144" s="51" t="str">
        <f t="shared" si="13"/>
        <v>Detractor</v>
      </c>
    </row>
    <row r="145" ht="14.25" customHeight="1" spans="1:19">
      <c r="A145" s="43" t="s">
        <v>187</v>
      </c>
      <c r="B145" s="43" t="s">
        <v>12</v>
      </c>
      <c r="C145" s="43" t="s">
        <v>21</v>
      </c>
      <c r="D145" s="44">
        <v>45942</v>
      </c>
      <c r="E145" s="44">
        <v>45947</v>
      </c>
      <c r="F145" s="44">
        <v>45951</v>
      </c>
      <c r="G145" s="44">
        <v>45957</v>
      </c>
      <c r="H145" s="45" t="str">
        <f t="shared" si="14"/>
        <v>Delivered</v>
      </c>
      <c r="I145" s="48">
        <f t="shared" si="10"/>
        <v>5</v>
      </c>
      <c r="J145" s="48">
        <f t="shared" si="11"/>
        <v>4</v>
      </c>
      <c r="K145" s="48">
        <f t="shared" si="12"/>
        <v>6</v>
      </c>
      <c r="L145" s="39" t="s">
        <v>9</v>
      </c>
      <c r="N145" s="44">
        <v>45978</v>
      </c>
      <c r="O145" s="39">
        <v>5</v>
      </c>
      <c r="P145" s="39">
        <v>4</v>
      </c>
      <c r="Q145" s="39">
        <v>6</v>
      </c>
      <c r="R145" s="39">
        <v>1</v>
      </c>
      <c r="S145" s="51" t="str">
        <f t="shared" si="13"/>
        <v>Detractor</v>
      </c>
    </row>
    <row r="146" ht="14.25" customHeight="1" spans="1:19">
      <c r="A146" s="43" t="s">
        <v>188</v>
      </c>
      <c r="B146" s="43" t="s">
        <v>11</v>
      </c>
      <c r="C146" s="43" t="s">
        <v>21</v>
      </c>
      <c r="D146" s="44">
        <v>45936</v>
      </c>
      <c r="E146" s="44">
        <v>45939</v>
      </c>
      <c r="F146" s="44">
        <v>45942</v>
      </c>
      <c r="G146" s="44">
        <v>45944</v>
      </c>
      <c r="H146" s="45" t="str">
        <f t="shared" si="14"/>
        <v>Delivered</v>
      </c>
      <c r="I146" s="48">
        <f t="shared" si="10"/>
        <v>3</v>
      </c>
      <c r="J146" s="48">
        <f t="shared" si="11"/>
        <v>3</v>
      </c>
      <c r="K146" s="48">
        <f t="shared" si="12"/>
        <v>2</v>
      </c>
      <c r="L146" s="39" t="s">
        <v>9</v>
      </c>
      <c r="N146" s="44">
        <v>45971</v>
      </c>
      <c r="O146" s="39">
        <v>3</v>
      </c>
      <c r="P146" s="39">
        <v>3</v>
      </c>
      <c r="Q146" s="39">
        <v>2</v>
      </c>
      <c r="R146" s="39">
        <v>6</v>
      </c>
      <c r="S146" s="51" t="str">
        <f t="shared" si="13"/>
        <v>Detractor</v>
      </c>
    </row>
    <row r="147" ht="14.25" customHeight="1" spans="1:19">
      <c r="A147" s="43" t="s">
        <v>189</v>
      </c>
      <c r="B147" s="43" t="s">
        <v>13</v>
      </c>
      <c r="C147" s="43" t="s">
        <v>22</v>
      </c>
      <c r="D147" s="44">
        <v>45940</v>
      </c>
      <c r="E147" s="44">
        <v>45941</v>
      </c>
      <c r="F147" s="44">
        <v>45945</v>
      </c>
      <c r="G147" s="44">
        <v>45948</v>
      </c>
      <c r="H147" s="45" t="str">
        <f t="shared" si="14"/>
        <v>Delivered</v>
      </c>
      <c r="I147" s="48">
        <f t="shared" si="10"/>
        <v>1</v>
      </c>
      <c r="J147" s="48">
        <f t="shared" si="11"/>
        <v>4</v>
      </c>
      <c r="K147" s="48">
        <f t="shared" si="12"/>
        <v>3</v>
      </c>
      <c r="L147" s="39" t="s">
        <v>9</v>
      </c>
      <c r="N147" s="44">
        <v>45970</v>
      </c>
      <c r="O147" s="39">
        <v>1</v>
      </c>
      <c r="P147" s="39">
        <v>4</v>
      </c>
      <c r="Q147" s="39">
        <v>3</v>
      </c>
      <c r="R147" s="39">
        <v>1</v>
      </c>
      <c r="S147" s="51" t="str">
        <f t="shared" si="13"/>
        <v>Detractor</v>
      </c>
    </row>
    <row r="148" ht="14.25" customHeight="1" spans="1:19">
      <c r="A148" s="43" t="s">
        <v>190</v>
      </c>
      <c r="B148" s="43" t="s">
        <v>11</v>
      </c>
      <c r="C148" s="43" t="s">
        <v>21</v>
      </c>
      <c r="D148" s="44">
        <v>45931</v>
      </c>
      <c r="E148" s="44">
        <v>45933</v>
      </c>
      <c r="F148" s="44">
        <v>45934</v>
      </c>
      <c r="G148" s="44">
        <v>45938</v>
      </c>
      <c r="H148" s="45" t="str">
        <f t="shared" si="14"/>
        <v>Delivered</v>
      </c>
      <c r="I148" s="48">
        <f t="shared" si="10"/>
        <v>2</v>
      </c>
      <c r="J148" s="48">
        <f t="shared" si="11"/>
        <v>1</v>
      </c>
      <c r="K148" s="48">
        <f t="shared" si="12"/>
        <v>4</v>
      </c>
      <c r="L148" s="39" t="s">
        <v>9</v>
      </c>
      <c r="N148" s="44">
        <v>45951</v>
      </c>
      <c r="O148" s="39">
        <v>2</v>
      </c>
      <c r="P148" s="39">
        <v>1</v>
      </c>
      <c r="Q148" s="39">
        <v>4</v>
      </c>
      <c r="R148" s="39">
        <v>6</v>
      </c>
      <c r="S148" s="51" t="str">
        <f t="shared" si="13"/>
        <v>Detractor</v>
      </c>
    </row>
    <row r="149" ht="14.25" customHeight="1" spans="1:19">
      <c r="A149" s="43" t="s">
        <v>191</v>
      </c>
      <c r="B149" s="43" t="s">
        <v>12</v>
      </c>
      <c r="C149" s="43" t="s">
        <v>20</v>
      </c>
      <c r="D149" s="44">
        <v>45953</v>
      </c>
      <c r="H149" s="45" t="str">
        <f t="shared" si="14"/>
        <v>Cancelled</v>
      </c>
      <c r="I149" s="48">
        <f t="shared" si="10"/>
        <v>0</v>
      </c>
      <c r="J149" s="48">
        <f t="shared" si="11"/>
        <v>0</v>
      </c>
      <c r="K149" s="48">
        <f t="shared" si="12"/>
        <v>0</v>
      </c>
      <c r="L149" s="39" t="s">
        <v>10</v>
      </c>
      <c r="M149" s="39" t="s">
        <v>49</v>
      </c>
      <c r="S149" s="51" t="str">
        <f t="shared" si="13"/>
        <v>Detractor</v>
      </c>
    </row>
    <row r="150" ht="14.25" customHeight="1" spans="1:19">
      <c r="A150" s="43" t="s">
        <v>192</v>
      </c>
      <c r="B150" s="43" t="s">
        <v>12</v>
      </c>
      <c r="C150" s="43" t="s">
        <v>21</v>
      </c>
      <c r="D150" s="44">
        <v>45948</v>
      </c>
      <c r="E150" s="44">
        <v>45952</v>
      </c>
      <c r="F150" s="44">
        <v>45954</v>
      </c>
      <c r="G150" s="44">
        <v>45956</v>
      </c>
      <c r="H150" s="45" t="str">
        <f t="shared" si="14"/>
        <v>Delivered</v>
      </c>
      <c r="I150" s="48">
        <f t="shared" si="10"/>
        <v>4</v>
      </c>
      <c r="J150" s="48">
        <f t="shared" si="11"/>
        <v>2</v>
      </c>
      <c r="K150" s="48">
        <f t="shared" si="12"/>
        <v>2</v>
      </c>
      <c r="L150" s="39" t="s">
        <v>9</v>
      </c>
      <c r="N150" s="44">
        <v>45981</v>
      </c>
      <c r="O150" s="39">
        <v>4</v>
      </c>
      <c r="P150" s="39">
        <v>2</v>
      </c>
      <c r="Q150" s="39">
        <v>2</v>
      </c>
      <c r="R150" s="39">
        <v>5</v>
      </c>
      <c r="S150" s="51" t="str">
        <f t="shared" si="13"/>
        <v>Detractor</v>
      </c>
    </row>
    <row r="151" ht="14.25" customHeight="1" spans="1:19">
      <c r="A151" s="43" t="s">
        <v>193</v>
      </c>
      <c r="B151" s="43" t="s">
        <v>12</v>
      </c>
      <c r="C151" s="43" t="s">
        <v>22</v>
      </c>
      <c r="D151" s="44">
        <v>45935</v>
      </c>
      <c r="E151" s="44">
        <v>45940</v>
      </c>
      <c r="F151" s="44">
        <v>45941</v>
      </c>
      <c r="G151" s="44">
        <v>45945</v>
      </c>
      <c r="H151" s="45" t="str">
        <f t="shared" si="14"/>
        <v>Delivered</v>
      </c>
      <c r="I151" s="48">
        <f t="shared" si="10"/>
        <v>5</v>
      </c>
      <c r="J151" s="48">
        <f t="shared" si="11"/>
        <v>1</v>
      </c>
      <c r="K151" s="48">
        <f t="shared" si="12"/>
        <v>4</v>
      </c>
      <c r="L151" s="39" t="s">
        <v>9</v>
      </c>
      <c r="N151" s="44">
        <v>45973</v>
      </c>
      <c r="O151" s="39">
        <v>5</v>
      </c>
      <c r="P151" s="39">
        <v>1</v>
      </c>
      <c r="Q151" s="39">
        <v>4</v>
      </c>
      <c r="R151" s="39">
        <v>4</v>
      </c>
      <c r="S151" s="51" t="str">
        <f t="shared" si="13"/>
        <v>Detractor</v>
      </c>
    </row>
    <row r="152" ht="14.25" customHeight="1" spans="1:19">
      <c r="A152" s="43" t="s">
        <v>194</v>
      </c>
      <c r="B152" s="43" t="s">
        <v>11</v>
      </c>
      <c r="C152" s="43" t="s">
        <v>21</v>
      </c>
      <c r="D152" s="44">
        <v>45939</v>
      </c>
      <c r="E152" s="44">
        <v>45940</v>
      </c>
      <c r="F152" s="44">
        <v>45945</v>
      </c>
      <c r="G152" s="44">
        <v>45948</v>
      </c>
      <c r="H152" s="45" t="str">
        <f t="shared" si="14"/>
        <v>Delivered</v>
      </c>
      <c r="I152" s="48">
        <f t="shared" si="10"/>
        <v>1</v>
      </c>
      <c r="J152" s="48">
        <f t="shared" si="11"/>
        <v>5</v>
      </c>
      <c r="K152" s="48">
        <f t="shared" si="12"/>
        <v>3</v>
      </c>
      <c r="L152" s="39" t="s">
        <v>9</v>
      </c>
      <c r="N152" s="44">
        <v>45978</v>
      </c>
      <c r="O152" s="39">
        <v>1</v>
      </c>
      <c r="P152" s="39">
        <v>5</v>
      </c>
      <c r="Q152" s="39">
        <v>3</v>
      </c>
      <c r="R152" s="39">
        <v>2</v>
      </c>
      <c r="S152" s="51" t="str">
        <f t="shared" si="13"/>
        <v>Detractor</v>
      </c>
    </row>
    <row r="153" ht="14.25" customHeight="1" spans="1:19">
      <c r="A153" s="43" t="s">
        <v>195</v>
      </c>
      <c r="B153" s="43" t="s">
        <v>13</v>
      </c>
      <c r="C153" s="43" t="s">
        <v>20</v>
      </c>
      <c r="D153" s="44">
        <v>45932</v>
      </c>
      <c r="H153" s="45" t="str">
        <f t="shared" si="14"/>
        <v>Cancelled</v>
      </c>
      <c r="I153" s="48">
        <f t="shared" si="10"/>
        <v>0</v>
      </c>
      <c r="J153" s="48">
        <f t="shared" si="11"/>
        <v>0</v>
      </c>
      <c r="K153" s="48">
        <f t="shared" si="12"/>
        <v>0</v>
      </c>
      <c r="L153" s="39" t="s">
        <v>10</v>
      </c>
      <c r="M153" s="39" t="s">
        <v>42</v>
      </c>
      <c r="S153" s="51" t="str">
        <f t="shared" si="13"/>
        <v>Detractor</v>
      </c>
    </row>
    <row r="154" ht="14.25" customHeight="1" spans="1:19">
      <c r="A154" s="43" t="s">
        <v>196</v>
      </c>
      <c r="B154" s="43" t="s">
        <v>13</v>
      </c>
      <c r="C154" s="43" t="s">
        <v>20</v>
      </c>
      <c r="D154" s="44">
        <v>45932</v>
      </c>
      <c r="H154" s="45" t="str">
        <f t="shared" si="14"/>
        <v>Cancelled</v>
      </c>
      <c r="I154" s="48">
        <f t="shared" si="10"/>
        <v>0</v>
      </c>
      <c r="J154" s="48">
        <f t="shared" si="11"/>
        <v>0</v>
      </c>
      <c r="K154" s="48">
        <f t="shared" si="12"/>
        <v>0</v>
      </c>
      <c r="L154" s="39" t="s">
        <v>10</v>
      </c>
      <c r="M154" s="39" t="s">
        <v>49</v>
      </c>
      <c r="S154" s="51" t="str">
        <f t="shared" si="13"/>
        <v>Detractor</v>
      </c>
    </row>
    <row r="155" ht="14.25" customHeight="1" spans="1:19">
      <c r="A155" s="43" t="s">
        <v>197</v>
      </c>
      <c r="B155" s="43" t="s">
        <v>11</v>
      </c>
      <c r="C155" s="43" t="s">
        <v>22</v>
      </c>
      <c r="D155" s="44">
        <v>45948</v>
      </c>
      <c r="E155" s="44">
        <v>45949</v>
      </c>
      <c r="F155" s="44">
        <v>45951</v>
      </c>
      <c r="G155" s="44">
        <v>45957</v>
      </c>
      <c r="H155" s="45" t="str">
        <f t="shared" si="14"/>
        <v>Delivered</v>
      </c>
      <c r="I155" s="48">
        <f t="shared" si="10"/>
        <v>1</v>
      </c>
      <c r="J155" s="48">
        <f t="shared" si="11"/>
        <v>2</v>
      </c>
      <c r="K155" s="48">
        <f t="shared" si="12"/>
        <v>6</v>
      </c>
      <c r="L155" s="39" t="s">
        <v>9</v>
      </c>
      <c r="N155" s="44">
        <v>45974</v>
      </c>
      <c r="O155" s="39">
        <v>1</v>
      </c>
      <c r="P155" s="39">
        <v>2</v>
      </c>
      <c r="Q155" s="39">
        <v>6</v>
      </c>
      <c r="R155" s="39">
        <v>7</v>
      </c>
      <c r="S155" s="51" t="str">
        <f t="shared" si="13"/>
        <v>Passive</v>
      </c>
    </row>
    <row r="156" ht="14.25" customHeight="1" spans="1:19">
      <c r="A156" s="43" t="s">
        <v>198</v>
      </c>
      <c r="B156" s="43" t="s">
        <v>13</v>
      </c>
      <c r="C156" s="43" t="s">
        <v>20</v>
      </c>
      <c r="D156" s="44">
        <v>45940</v>
      </c>
      <c r="H156" s="45" t="str">
        <f t="shared" si="14"/>
        <v>Cancelled</v>
      </c>
      <c r="I156" s="48">
        <f t="shared" si="10"/>
        <v>0</v>
      </c>
      <c r="J156" s="48">
        <f t="shared" si="11"/>
        <v>0</v>
      </c>
      <c r="K156" s="48">
        <f t="shared" si="12"/>
        <v>0</v>
      </c>
      <c r="L156" s="39" t="s">
        <v>10</v>
      </c>
      <c r="M156" s="39" t="s">
        <v>42</v>
      </c>
      <c r="S156" s="51" t="str">
        <f t="shared" si="13"/>
        <v>Detractor</v>
      </c>
    </row>
    <row r="157" ht="14.25" customHeight="1" spans="1:19">
      <c r="A157" s="43" t="s">
        <v>199</v>
      </c>
      <c r="B157" s="43" t="s">
        <v>11</v>
      </c>
      <c r="C157" s="43" t="s">
        <v>21</v>
      </c>
      <c r="D157" s="44">
        <v>45953</v>
      </c>
      <c r="E157" s="44">
        <v>45955</v>
      </c>
      <c r="F157" s="44">
        <v>45959</v>
      </c>
      <c r="G157" s="44">
        <v>45963</v>
      </c>
      <c r="H157" s="45" t="str">
        <f t="shared" si="14"/>
        <v>Delivered</v>
      </c>
      <c r="I157" s="48">
        <f t="shared" si="10"/>
        <v>2</v>
      </c>
      <c r="J157" s="48">
        <f t="shared" si="11"/>
        <v>4</v>
      </c>
      <c r="K157" s="48">
        <f t="shared" si="12"/>
        <v>4</v>
      </c>
      <c r="L157" s="39" t="s">
        <v>9</v>
      </c>
      <c r="N157" s="44">
        <v>45978</v>
      </c>
      <c r="O157" s="39">
        <v>2</v>
      </c>
      <c r="P157" s="39">
        <v>4</v>
      </c>
      <c r="Q157" s="39">
        <v>4</v>
      </c>
      <c r="R157" s="39">
        <v>4</v>
      </c>
      <c r="S157" s="51" t="str">
        <f t="shared" si="13"/>
        <v>Detractor</v>
      </c>
    </row>
    <row r="158" ht="14.25" customHeight="1" spans="1:19">
      <c r="A158" s="43" t="s">
        <v>200</v>
      </c>
      <c r="B158" s="43" t="s">
        <v>13</v>
      </c>
      <c r="C158" s="43" t="s">
        <v>20</v>
      </c>
      <c r="D158" s="44">
        <v>45961</v>
      </c>
      <c r="H158" s="45" t="str">
        <f t="shared" si="14"/>
        <v>Cancelled</v>
      </c>
      <c r="I158" s="48">
        <f t="shared" si="10"/>
        <v>0</v>
      </c>
      <c r="J158" s="48">
        <f t="shared" si="11"/>
        <v>0</v>
      </c>
      <c r="K158" s="48">
        <f t="shared" si="12"/>
        <v>0</v>
      </c>
      <c r="L158" s="39" t="s">
        <v>10</v>
      </c>
      <c r="M158" s="39" t="s">
        <v>79</v>
      </c>
      <c r="S158" s="51" t="str">
        <f t="shared" si="13"/>
        <v>Detractor</v>
      </c>
    </row>
    <row r="159" ht="14.25" customHeight="1" spans="1:19">
      <c r="A159" s="43" t="s">
        <v>201</v>
      </c>
      <c r="B159" s="43" t="s">
        <v>14</v>
      </c>
      <c r="C159" s="43" t="s">
        <v>21</v>
      </c>
      <c r="D159" s="44">
        <v>45935</v>
      </c>
      <c r="E159" s="44">
        <v>45938</v>
      </c>
      <c r="F159" s="44">
        <v>45942</v>
      </c>
      <c r="G159" s="44">
        <v>45945</v>
      </c>
      <c r="H159" s="45" t="str">
        <f t="shared" si="14"/>
        <v>Delivered</v>
      </c>
      <c r="I159" s="48">
        <f t="shared" si="10"/>
        <v>3</v>
      </c>
      <c r="J159" s="48">
        <f t="shared" si="11"/>
        <v>4</v>
      </c>
      <c r="K159" s="48">
        <f t="shared" si="12"/>
        <v>3</v>
      </c>
      <c r="L159" s="39" t="s">
        <v>9</v>
      </c>
      <c r="N159" s="44">
        <v>45969</v>
      </c>
      <c r="O159" s="39">
        <v>3</v>
      </c>
      <c r="P159" s="39">
        <v>4</v>
      </c>
      <c r="Q159" s="39">
        <v>3</v>
      </c>
      <c r="R159" s="39">
        <v>8</v>
      </c>
      <c r="S159" s="51" t="str">
        <f t="shared" si="13"/>
        <v>Passive</v>
      </c>
    </row>
    <row r="160" ht="14.25" customHeight="1" spans="1:19">
      <c r="A160" s="43" t="s">
        <v>202</v>
      </c>
      <c r="B160" s="43" t="s">
        <v>14</v>
      </c>
      <c r="C160" s="43" t="s">
        <v>20</v>
      </c>
      <c r="D160" s="44">
        <v>45951</v>
      </c>
      <c r="H160" s="45" t="str">
        <f t="shared" si="14"/>
        <v>Cancelled</v>
      </c>
      <c r="I160" s="48">
        <f t="shared" si="10"/>
        <v>0</v>
      </c>
      <c r="J160" s="48">
        <f t="shared" si="11"/>
        <v>0</v>
      </c>
      <c r="K160" s="48">
        <f t="shared" si="12"/>
        <v>0</v>
      </c>
      <c r="L160" s="39" t="s">
        <v>10</v>
      </c>
      <c r="M160" s="39" t="s">
        <v>44</v>
      </c>
      <c r="S160" s="51" t="str">
        <f t="shared" si="13"/>
        <v>Detractor</v>
      </c>
    </row>
    <row r="161" ht="14.25" customHeight="1" spans="1:19">
      <c r="A161" s="43" t="s">
        <v>203</v>
      </c>
      <c r="B161" s="43" t="s">
        <v>12</v>
      </c>
      <c r="C161" s="43" t="s">
        <v>21</v>
      </c>
      <c r="D161" s="44">
        <v>45958</v>
      </c>
      <c r="E161" s="44">
        <v>45960</v>
      </c>
      <c r="F161" s="44">
        <v>45964</v>
      </c>
      <c r="G161" s="44">
        <v>45969</v>
      </c>
      <c r="H161" s="45" t="str">
        <f t="shared" si="14"/>
        <v>Delivered</v>
      </c>
      <c r="I161" s="48">
        <f t="shared" si="10"/>
        <v>2</v>
      </c>
      <c r="J161" s="48">
        <f t="shared" si="11"/>
        <v>4</v>
      </c>
      <c r="K161" s="48">
        <f t="shared" si="12"/>
        <v>5</v>
      </c>
      <c r="L161" s="39" t="s">
        <v>9</v>
      </c>
      <c r="N161" s="44">
        <v>45981</v>
      </c>
      <c r="O161" s="39">
        <v>2</v>
      </c>
      <c r="P161" s="39">
        <v>4</v>
      </c>
      <c r="Q161" s="39">
        <v>5</v>
      </c>
      <c r="R161" s="39">
        <v>5</v>
      </c>
      <c r="S161" s="51" t="str">
        <f t="shared" si="13"/>
        <v>Detractor</v>
      </c>
    </row>
    <row r="162" ht="14.25" customHeight="1" spans="1:19">
      <c r="A162" s="43" t="s">
        <v>204</v>
      </c>
      <c r="B162" s="43" t="s">
        <v>14</v>
      </c>
      <c r="C162" s="43" t="s">
        <v>22</v>
      </c>
      <c r="D162" s="44">
        <v>45955</v>
      </c>
      <c r="E162" s="44">
        <v>45957</v>
      </c>
      <c r="F162" s="44">
        <v>45959</v>
      </c>
      <c r="G162" s="44">
        <v>45965</v>
      </c>
      <c r="H162" s="45" t="str">
        <f t="shared" si="14"/>
        <v>Delivered</v>
      </c>
      <c r="I162" s="48">
        <f t="shared" si="10"/>
        <v>2</v>
      </c>
      <c r="J162" s="48">
        <f t="shared" si="11"/>
        <v>2</v>
      </c>
      <c r="K162" s="48">
        <f t="shared" si="12"/>
        <v>6</v>
      </c>
      <c r="L162" s="39" t="s">
        <v>9</v>
      </c>
      <c r="N162" s="44">
        <v>45976</v>
      </c>
      <c r="O162" s="39">
        <v>2</v>
      </c>
      <c r="P162" s="39">
        <v>2</v>
      </c>
      <c r="Q162" s="39">
        <v>6</v>
      </c>
      <c r="R162" s="39">
        <v>3</v>
      </c>
      <c r="S162" s="51" t="str">
        <f t="shared" si="13"/>
        <v>Detractor</v>
      </c>
    </row>
    <row r="163" ht="14.25" customHeight="1" spans="1:19">
      <c r="A163" s="43" t="s">
        <v>205</v>
      </c>
      <c r="B163" s="43" t="s">
        <v>14</v>
      </c>
      <c r="C163" s="43" t="s">
        <v>22</v>
      </c>
      <c r="D163" s="44">
        <v>45946</v>
      </c>
      <c r="E163" s="44">
        <v>45949</v>
      </c>
      <c r="F163" s="44">
        <v>45952</v>
      </c>
      <c r="G163" s="44">
        <v>45959</v>
      </c>
      <c r="H163" s="45" t="str">
        <f t="shared" si="14"/>
        <v>Delivered</v>
      </c>
      <c r="I163" s="48">
        <f t="shared" si="10"/>
        <v>3</v>
      </c>
      <c r="J163" s="48">
        <f t="shared" si="11"/>
        <v>3</v>
      </c>
      <c r="K163" s="48">
        <f t="shared" si="12"/>
        <v>7</v>
      </c>
      <c r="L163" s="39" t="s">
        <v>9</v>
      </c>
      <c r="N163" s="44">
        <v>45978</v>
      </c>
      <c r="O163" s="39">
        <v>3</v>
      </c>
      <c r="P163" s="39">
        <v>3</v>
      </c>
      <c r="Q163" s="39">
        <v>7</v>
      </c>
      <c r="R163" s="39">
        <v>2</v>
      </c>
      <c r="S163" s="51" t="str">
        <f t="shared" si="13"/>
        <v>Detractor</v>
      </c>
    </row>
    <row r="164" ht="14.25" customHeight="1" spans="1:19">
      <c r="A164" s="43" t="s">
        <v>206</v>
      </c>
      <c r="B164" s="43" t="s">
        <v>14</v>
      </c>
      <c r="C164" s="43" t="s">
        <v>21</v>
      </c>
      <c r="D164" s="44">
        <v>45934</v>
      </c>
      <c r="E164" s="44">
        <v>45937</v>
      </c>
      <c r="F164" s="44">
        <v>45940</v>
      </c>
      <c r="G164" s="44">
        <v>45945</v>
      </c>
      <c r="H164" s="45" t="str">
        <f t="shared" si="14"/>
        <v>Delivered</v>
      </c>
      <c r="I164" s="48">
        <f t="shared" si="10"/>
        <v>3</v>
      </c>
      <c r="J164" s="48">
        <f t="shared" si="11"/>
        <v>3</v>
      </c>
      <c r="K164" s="48">
        <f t="shared" si="12"/>
        <v>5</v>
      </c>
      <c r="L164" s="39" t="s">
        <v>9</v>
      </c>
      <c r="N164" s="44">
        <v>45955</v>
      </c>
      <c r="O164" s="39">
        <v>3</v>
      </c>
      <c r="P164" s="39">
        <v>3</v>
      </c>
      <c r="Q164" s="39">
        <v>5</v>
      </c>
      <c r="R164" s="39">
        <v>7</v>
      </c>
      <c r="S164" s="51" t="str">
        <f t="shared" si="13"/>
        <v>Passive</v>
      </c>
    </row>
    <row r="165" ht="14.25" customHeight="1" spans="1:19">
      <c r="A165" s="43" t="s">
        <v>207</v>
      </c>
      <c r="B165" s="43" t="s">
        <v>11</v>
      </c>
      <c r="C165" s="43" t="s">
        <v>21</v>
      </c>
      <c r="D165" s="44">
        <v>45958</v>
      </c>
      <c r="E165" s="44">
        <v>45961</v>
      </c>
      <c r="F165" s="44">
        <v>45964</v>
      </c>
      <c r="G165" s="44">
        <v>45970</v>
      </c>
      <c r="H165" s="45" t="str">
        <f t="shared" si="14"/>
        <v>Delivered</v>
      </c>
      <c r="I165" s="48">
        <f t="shared" si="10"/>
        <v>3</v>
      </c>
      <c r="J165" s="48">
        <f t="shared" si="11"/>
        <v>3</v>
      </c>
      <c r="K165" s="48">
        <f t="shared" si="12"/>
        <v>6</v>
      </c>
      <c r="L165" s="39" t="s">
        <v>9</v>
      </c>
      <c r="N165" s="44">
        <v>45990</v>
      </c>
      <c r="O165" s="39">
        <v>3</v>
      </c>
      <c r="P165" s="39">
        <v>3</v>
      </c>
      <c r="Q165" s="39">
        <v>6</v>
      </c>
      <c r="R165" s="39">
        <v>5</v>
      </c>
      <c r="S165" s="51" t="str">
        <f t="shared" si="13"/>
        <v>Detractor</v>
      </c>
    </row>
    <row r="166" ht="14.25" customHeight="1" spans="1:19">
      <c r="A166" s="43" t="s">
        <v>208</v>
      </c>
      <c r="B166" s="43" t="s">
        <v>14</v>
      </c>
      <c r="C166" s="43" t="s">
        <v>21</v>
      </c>
      <c r="D166" s="44">
        <v>45931</v>
      </c>
      <c r="E166" s="44">
        <v>45932</v>
      </c>
      <c r="F166" s="44">
        <v>45933</v>
      </c>
      <c r="G166" s="44">
        <v>45939</v>
      </c>
      <c r="H166" s="45" t="str">
        <f t="shared" si="14"/>
        <v>Delivered</v>
      </c>
      <c r="I166" s="48">
        <f t="shared" si="10"/>
        <v>1</v>
      </c>
      <c r="J166" s="48">
        <f t="shared" si="11"/>
        <v>1</v>
      </c>
      <c r="K166" s="48">
        <f t="shared" si="12"/>
        <v>6</v>
      </c>
      <c r="L166" s="39" t="s">
        <v>9</v>
      </c>
      <c r="N166" s="44">
        <v>45957</v>
      </c>
      <c r="O166" s="39">
        <v>1</v>
      </c>
      <c r="P166" s="39">
        <v>1</v>
      </c>
      <c r="Q166" s="39">
        <v>6</v>
      </c>
      <c r="R166" s="39">
        <v>6</v>
      </c>
      <c r="S166" s="51" t="str">
        <f t="shared" si="13"/>
        <v>Detractor</v>
      </c>
    </row>
    <row r="167" ht="14.25" customHeight="1" spans="1:19">
      <c r="A167" s="43" t="s">
        <v>209</v>
      </c>
      <c r="B167" s="43" t="s">
        <v>14</v>
      </c>
      <c r="C167" s="43" t="s">
        <v>22</v>
      </c>
      <c r="D167" s="44">
        <v>45949</v>
      </c>
      <c r="E167" s="44">
        <v>45950</v>
      </c>
      <c r="F167" s="44">
        <v>45951</v>
      </c>
      <c r="G167" s="44">
        <v>45953</v>
      </c>
      <c r="H167" s="45" t="str">
        <f t="shared" si="14"/>
        <v>Delivered</v>
      </c>
      <c r="I167" s="48">
        <f t="shared" si="10"/>
        <v>1</v>
      </c>
      <c r="J167" s="48">
        <f t="shared" si="11"/>
        <v>1</v>
      </c>
      <c r="K167" s="48">
        <f t="shared" si="12"/>
        <v>2</v>
      </c>
      <c r="L167" s="39" t="s">
        <v>9</v>
      </c>
      <c r="N167" s="44">
        <v>45966</v>
      </c>
      <c r="O167" s="39">
        <v>1</v>
      </c>
      <c r="P167" s="39">
        <v>1</v>
      </c>
      <c r="Q167" s="39">
        <v>2</v>
      </c>
      <c r="R167" s="39">
        <v>2</v>
      </c>
      <c r="S167" s="51" t="str">
        <f t="shared" si="13"/>
        <v>Detractor</v>
      </c>
    </row>
    <row r="168" ht="14.25" customHeight="1" spans="1:19">
      <c r="A168" s="43" t="s">
        <v>210</v>
      </c>
      <c r="B168" s="43" t="s">
        <v>12</v>
      </c>
      <c r="C168" s="43" t="s">
        <v>22</v>
      </c>
      <c r="D168" s="44">
        <v>45940</v>
      </c>
      <c r="E168" s="44">
        <v>45944</v>
      </c>
      <c r="F168" s="44">
        <v>45949</v>
      </c>
      <c r="G168" s="44">
        <v>45955</v>
      </c>
      <c r="H168" s="45" t="str">
        <f t="shared" si="14"/>
        <v>Delivered</v>
      </c>
      <c r="I168" s="48">
        <f t="shared" si="10"/>
        <v>4</v>
      </c>
      <c r="J168" s="48">
        <f t="shared" si="11"/>
        <v>5</v>
      </c>
      <c r="K168" s="48">
        <f t="shared" si="12"/>
        <v>6</v>
      </c>
      <c r="L168" s="39" t="s">
        <v>10</v>
      </c>
      <c r="M168" s="39" t="s">
        <v>49</v>
      </c>
      <c r="O168" s="39">
        <v>4</v>
      </c>
      <c r="P168" s="39">
        <v>5</v>
      </c>
      <c r="Q168" s="39">
        <v>6</v>
      </c>
      <c r="S168" s="51" t="str">
        <f t="shared" si="13"/>
        <v>Detractor</v>
      </c>
    </row>
    <row r="169" ht="14.25" customHeight="1" spans="1:19">
      <c r="A169" s="43" t="s">
        <v>211</v>
      </c>
      <c r="B169" s="43" t="s">
        <v>14</v>
      </c>
      <c r="C169" s="43" t="s">
        <v>21</v>
      </c>
      <c r="D169" s="44">
        <v>45946</v>
      </c>
      <c r="E169" s="44">
        <v>45950</v>
      </c>
      <c r="F169" s="44">
        <v>45952</v>
      </c>
      <c r="G169" s="44">
        <v>45954</v>
      </c>
      <c r="H169" s="45" t="str">
        <f t="shared" si="14"/>
        <v>Delivered</v>
      </c>
      <c r="I169" s="48">
        <f t="shared" si="10"/>
        <v>4</v>
      </c>
      <c r="J169" s="48">
        <f t="shared" si="11"/>
        <v>2</v>
      </c>
      <c r="K169" s="48">
        <f t="shared" si="12"/>
        <v>2</v>
      </c>
      <c r="L169" s="39" t="s">
        <v>10</v>
      </c>
      <c r="M169" s="39" t="s">
        <v>117</v>
      </c>
      <c r="O169" s="39">
        <v>4</v>
      </c>
      <c r="P169" s="39">
        <v>2</v>
      </c>
      <c r="Q169" s="39">
        <v>2</v>
      </c>
      <c r="S169" s="51" t="str">
        <f t="shared" si="13"/>
        <v>Detractor</v>
      </c>
    </row>
    <row r="170" ht="14.25" customHeight="1" spans="1:19">
      <c r="A170" s="43" t="s">
        <v>212</v>
      </c>
      <c r="B170" s="43" t="s">
        <v>14</v>
      </c>
      <c r="C170" s="43" t="s">
        <v>22</v>
      </c>
      <c r="D170" s="44">
        <v>45946</v>
      </c>
      <c r="E170" s="44">
        <v>45948</v>
      </c>
      <c r="F170" s="44">
        <v>45953</v>
      </c>
      <c r="G170" s="44">
        <v>45957</v>
      </c>
      <c r="H170" s="45" t="str">
        <f t="shared" si="14"/>
        <v>Delivered</v>
      </c>
      <c r="I170" s="48">
        <f t="shared" si="10"/>
        <v>2</v>
      </c>
      <c r="J170" s="48">
        <f t="shared" si="11"/>
        <v>5</v>
      </c>
      <c r="K170" s="48">
        <f t="shared" si="12"/>
        <v>4</v>
      </c>
      <c r="L170" s="39" t="s">
        <v>9</v>
      </c>
      <c r="N170" s="44">
        <v>45969</v>
      </c>
      <c r="O170" s="39">
        <v>2</v>
      </c>
      <c r="P170" s="39">
        <v>5</v>
      </c>
      <c r="Q170" s="39">
        <v>4</v>
      </c>
      <c r="R170" s="39">
        <v>5</v>
      </c>
      <c r="S170" s="51" t="str">
        <f t="shared" si="13"/>
        <v>Detractor</v>
      </c>
    </row>
    <row r="171" ht="14.25" customHeight="1" spans="1:19">
      <c r="A171" s="43" t="s">
        <v>213</v>
      </c>
      <c r="B171" s="43" t="s">
        <v>13</v>
      </c>
      <c r="C171" s="43" t="s">
        <v>21</v>
      </c>
      <c r="D171" s="44">
        <v>45945</v>
      </c>
      <c r="E171" s="44">
        <v>45947</v>
      </c>
      <c r="F171" s="44">
        <v>45948</v>
      </c>
      <c r="G171" s="44">
        <v>45954</v>
      </c>
      <c r="H171" s="45" t="str">
        <f t="shared" si="14"/>
        <v>Delivered</v>
      </c>
      <c r="I171" s="48">
        <f t="shared" si="10"/>
        <v>2</v>
      </c>
      <c r="J171" s="48">
        <f t="shared" si="11"/>
        <v>1</v>
      </c>
      <c r="K171" s="48">
        <f t="shared" si="12"/>
        <v>6</v>
      </c>
      <c r="L171" s="39" t="s">
        <v>9</v>
      </c>
      <c r="N171" s="44">
        <v>45974</v>
      </c>
      <c r="O171" s="39">
        <v>2</v>
      </c>
      <c r="P171" s="39">
        <v>1</v>
      </c>
      <c r="Q171" s="39">
        <v>6</v>
      </c>
      <c r="R171" s="39">
        <v>2</v>
      </c>
      <c r="S171" s="51" t="str">
        <f t="shared" si="13"/>
        <v>Detractor</v>
      </c>
    </row>
    <row r="172" ht="14.25" customHeight="1" spans="1:19">
      <c r="A172" s="43" t="s">
        <v>214</v>
      </c>
      <c r="B172" s="43" t="s">
        <v>12</v>
      </c>
      <c r="C172" s="43" t="s">
        <v>20</v>
      </c>
      <c r="D172" s="44">
        <v>45941</v>
      </c>
      <c r="H172" s="45" t="str">
        <f t="shared" si="14"/>
        <v>Cancelled</v>
      </c>
      <c r="I172" s="48">
        <f t="shared" si="10"/>
        <v>0</v>
      </c>
      <c r="J172" s="48">
        <f t="shared" si="11"/>
        <v>0</v>
      </c>
      <c r="K172" s="48">
        <f t="shared" si="12"/>
        <v>0</v>
      </c>
      <c r="L172" s="39" t="s">
        <v>10</v>
      </c>
      <c r="M172" s="39" t="s">
        <v>44</v>
      </c>
      <c r="S172" s="51" t="str">
        <f t="shared" si="13"/>
        <v>Detractor</v>
      </c>
    </row>
    <row r="173" ht="14.25" customHeight="1" spans="1:19">
      <c r="A173" s="43" t="s">
        <v>215</v>
      </c>
      <c r="B173" s="43" t="s">
        <v>12</v>
      </c>
      <c r="C173" s="43" t="s">
        <v>21</v>
      </c>
      <c r="D173" s="44">
        <v>45936</v>
      </c>
      <c r="E173" s="44">
        <v>45940</v>
      </c>
      <c r="F173" s="44">
        <v>45942</v>
      </c>
      <c r="G173" s="44">
        <v>45946</v>
      </c>
      <c r="H173" s="45" t="str">
        <f t="shared" si="14"/>
        <v>Delivered</v>
      </c>
      <c r="I173" s="48">
        <f t="shared" si="10"/>
        <v>4</v>
      </c>
      <c r="J173" s="48">
        <f t="shared" si="11"/>
        <v>2</v>
      </c>
      <c r="K173" s="48">
        <f t="shared" si="12"/>
        <v>4</v>
      </c>
      <c r="L173" s="39" t="s">
        <v>9</v>
      </c>
      <c r="N173" s="44">
        <v>45961</v>
      </c>
      <c r="O173" s="39">
        <v>4</v>
      </c>
      <c r="P173" s="39">
        <v>2</v>
      </c>
      <c r="Q173" s="39">
        <v>4</v>
      </c>
      <c r="R173" s="39">
        <v>1</v>
      </c>
      <c r="S173" s="51" t="str">
        <f t="shared" si="13"/>
        <v>Detractor</v>
      </c>
    </row>
    <row r="174" ht="14.25" customHeight="1" spans="1:19">
      <c r="A174" s="43" t="s">
        <v>216</v>
      </c>
      <c r="B174" s="43" t="s">
        <v>12</v>
      </c>
      <c r="C174" s="43" t="s">
        <v>21</v>
      </c>
      <c r="D174" s="44">
        <v>45961</v>
      </c>
      <c r="E174" s="44">
        <v>45966</v>
      </c>
      <c r="F174" s="44">
        <v>45970</v>
      </c>
      <c r="G174" s="44">
        <v>45976</v>
      </c>
      <c r="H174" s="45" t="str">
        <f t="shared" si="14"/>
        <v>Delivered</v>
      </c>
      <c r="I174" s="48">
        <f t="shared" si="10"/>
        <v>5</v>
      </c>
      <c r="J174" s="48">
        <f t="shared" si="11"/>
        <v>4</v>
      </c>
      <c r="K174" s="48">
        <f t="shared" si="12"/>
        <v>6</v>
      </c>
      <c r="L174" s="39" t="s">
        <v>9</v>
      </c>
      <c r="N174" s="44">
        <v>45998</v>
      </c>
      <c r="O174" s="39">
        <v>5</v>
      </c>
      <c r="P174" s="39">
        <v>4</v>
      </c>
      <c r="Q174" s="39">
        <v>6</v>
      </c>
      <c r="R174" s="39">
        <v>8</v>
      </c>
      <c r="S174" s="51" t="str">
        <f t="shared" si="13"/>
        <v>Passive</v>
      </c>
    </row>
    <row r="175" ht="14.25" customHeight="1" spans="1:19">
      <c r="A175" s="43" t="s">
        <v>217</v>
      </c>
      <c r="B175" s="43" t="s">
        <v>12</v>
      </c>
      <c r="C175" s="43" t="s">
        <v>21</v>
      </c>
      <c r="D175" s="44">
        <v>45932</v>
      </c>
      <c r="E175" s="44">
        <v>45934</v>
      </c>
      <c r="F175" s="44">
        <v>45936</v>
      </c>
      <c r="G175" s="44">
        <v>45938</v>
      </c>
      <c r="H175" s="45" t="str">
        <f t="shared" si="14"/>
        <v>Delivered</v>
      </c>
      <c r="I175" s="48">
        <f t="shared" si="10"/>
        <v>2</v>
      </c>
      <c r="J175" s="48">
        <f t="shared" si="11"/>
        <v>2</v>
      </c>
      <c r="K175" s="48">
        <f t="shared" si="12"/>
        <v>2</v>
      </c>
      <c r="L175" s="39" t="s">
        <v>9</v>
      </c>
      <c r="N175" s="44">
        <v>45953</v>
      </c>
      <c r="O175" s="39">
        <v>2</v>
      </c>
      <c r="P175" s="39">
        <v>2</v>
      </c>
      <c r="Q175" s="39">
        <v>2</v>
      </c>
      <c r="R175" s="39">
        <v>6</v>
      </c>
      <c r="S175" s="51" t="str">
        <f t="shared" si="13"/>
        <v>Detractor</v>
      </c>
    </row>
    <row r="176" ht="14.25" customHeight="1" spans="1:19">
      <c r="A176" s="43" t="s">
        <v>218</v>
      </c>
      <c r="B176" s="43" t="s">
        <v>12</v>
      </c>
      <c r="C176" s="43" t="s">
        <v>22</v>
      </c>
      <c r="D176" s="44">
        <v>45939</v>
      </c>
      <c r="E176" s="44">
        <v>45944</v>
      </c>
      <c r="F176" s="44">
        <v>45945</v>
      </c>
      <c r="G176" s="44">
        <v>45952</v>
      </c>
      <c r="H176" s="45" t="str">
        <f t="shared" si="14"/>
        <v>Delivered</v>
      </c>
      <c r="I176" s="48">
        <f t="shared" si="10"/>
        <v>5</v>
      </c>
      <c r="J176" s="48">
        <f t="shared" si="11"/>
        <v>1</v>
      </c>
      <c r="K176" s="48">
        <f t="shared" si="12"/>
        <v>7</v>
      </c>
      <c r="L176" s="39" t="s">
        <v>9</v>
      </c>
      <c r="N176" s="44">
        <v>45964</v>
      </c>
      <c r="O176" s="39">
        <v>5</v>
      </c>
      <c r="P176" s="39">
        <v>1</v>
      </c>
      <c r="Q176" s="39">
        <v>7</v>
      </c>
      <c r="R176" s="39">
        <v>6</v>
      </c>
      <c r="S176" s="51" t="str">
        <f t="shared" si="13"/>
        <v>Detractor</v>
      </c>
    </row>
    <row r="177" ht="14.25" customHeight="1" spans="1:19">
      <c r="A177" s="43" t="s">
        <v>219</v>
      </c>
      <c r="B177" s="43" t="s">
        <v>12</v>
      </c>
      <c r="C177" s="43" t="s">
        <v>20</v>
      </c>
      <c r="D177" s="44">
        <v>45961</v>
      </c>
      <c r="H177" s="45" t="str">
        <f t="shared" si="14"/>
        <v>Cancelled</v>
      </c>
      <c r="I177" s="48">
        <f t="shared" si="10"/>
        <v>0</v>
      </c>
      <c r="J177" s="48">
        <f t="shared" si="11"/>
        <v>0</v>
      </c>
      <c r="K177" s="48">
        <f t="shared" si="12"/>
        <v>0</v>
      </c>
      <c r="L177" s="39" t="s">
        <v>10</v>
      </c>
      <c r="M177" s="39" t="s">
        <v>117</v>
      </c>
      <c r="S177" s="51" t="str">
        <f t="shared" si="13"/>
        <v>Detractor</v>
      </c>
    </row>
    <row r="178" ht="14.25" customHeight="1" spans="1:19">
      <c r="A178" s="43" t="s">
        <v>220</v>
      </c>
      <c r="B178" s="43" t="s">
        <v>11</v>
      </c>
      <c r="C178" s="43" t="s">
        <v>22</v>
      </c>
      <c r="D178" s="44">
        <v>45958</v>
      </c>
      <c r="E178" s="44">
        <v>45963</v>
      </c>
      <c r="F178" s="44">
        <v>45967</v>
      </c>
      <c r="G178" s="44">
        <v>45972</v>
      </c>
      <c r="H178" s="45" t="str">
        <f t="shared" si="14"/>
        <v>Delivered</v>
      </c>
      <c r="I178" s="48">
        <f t="shared" si="10"/>
        <v>5</v>
      </c>
      <c r="J178" s="48">
        <f t="shared" si="11"/>
        <v>4</v>
      </c>
      <c r="K178" s="48">
        <f t="shared" si="12"/>
        <v>5</v>
      </c>
      <c r="L178" s="39" t="s">
        <v>9</v>
      </c>
      <c r="N178" s="44">
        <v>45999</v>
      </c>
      <c r="O178" s="39">
        <v>5</v>
      </c>
      <c r="P178" s="39">
        <v>4</v>
      </c>
      <c r="Q178" s="39">
        <v>5</v>
      </c>
      <c r="R178" s="39">
        <v>3</v>
      </c>
      <c r="S178" s="51" t="str">
        <f t="shared" si="13"/>
        <v>Detractor</v>
      </c>
    </row>
    <row r="179" ht="14.25" customHeight="1" spans="1:19">
      <c r="A179" s="43" t="s">
        <v>221</v>
      </c>
      <c r="B179" s="43" t="s">
        <v>14</v>
      </c>
      <c r="C179" s="43" t="s">
        <v>21</v>
      </c>
      <c r="D179" s="44">
        <v>45946</v>
      </c>
      <c r="E179" s="44">
        <v>45949</v>
      </c>
      <c r="F179" s="44">
        <v>45953</v>
      </c>
      <c r="G179" s="44">
        <v>45959</v>
      </c>
      <c r="H179" s="45" t="str">
        <f t="shared" si="14"/>
        <v>Delivered</v>
      </c>
      <c r="I179" s="48">
        <f t="shared" si="10"/>
        <v>3</v>
      </c>
      <c r="J179" s="48">
        <f t="shared" si="11"/>
        <v>4</v>
      </c>
      <c r="K179" s="48">
        <f t="shared" si="12"/>
        <v>6</v>
      </c>
      <c r="L179" s="39" t="s">
        <v>9</v>
      </c>
      <c r="N179" s="44">
        <v>45971</v>
      </c>
      <c r="O179" s="39">
        <v>3</v>
      </c>
      <c r="P179" s="39">
        <v>4</v>
      </c>
      <c r="Q179" s="39">
        <v>6</v>
      </c>
      <c r="R179" s="39">
        <v>5</v>
      </c>
      <c r="S179" s="51" t="str">
        <f t="shared" si="13"/>
        <v>Detractor</v>
      </c>
    </row>
    <row r="180" ht="14.25" customHeight="1" spans="1:19">
      <c r="A180" s="43" t="s">
        <v>222</v>
      </c>
      <c r="B180" s="43" t="s">
        <v>12</v>
      </c>
      <c r="C180" s="43" t="s">
        <v>22</v>
      </c>
      <c r="D180" s="44">
        <v>45934</v>
      </c>
      <c r="E180" s="44">
        <v>45935</v>
      </c>
      <c r="F180" s="44">
        <v>45937</v>
      </c>
      <c r="G180" s="44">
        <v>45940</v>
      </c>
      <c r="H180" s="45" t="str">
        <f t="shared" si="14"/>
        <v>Delivered</v>
      </c>
      <c r="I180" s="48">
        <f t="shared" si="10"/>
        <v>1</v>
      </c>
      <c r="J180" s="48">
        <f t="shared" si="11"/>
        <v>2</v>
      </c>
      <c r="K180" s="48">
        <f t="shared" si="12"/>
        <v>3</v>
      </c>
      <c r="L180" s="39" t="s">
        <v>9</v>
      </c>
      <c r="N180" s="44">
        <v>45960</v>
      </c>
      <c r="O180" s="39">
        <v>1</v>
      </c>
      <c r="P180" s="39">
        <v>2</v>
      </c>
      <c r="Q180" s="39">
        <v>3</v>
      </c>
      <c r="R180" s="39">
        <v>9</v>
      </c>
      <c r="S180" s="51" t="str">
        <f t="shared" si="13"/>
        <v>Promoter</v>
      </c>
    </row>
    <row r="181" ht="14.25" customHeight="1" spans="1:19">
      <c r="A181" s="43" t="s">
        <v>223</v>
      </c>
      <c r="B181" s="43" t="s">
        <v>14</v>
      </c>
      <c r="C181" s="43" t="s">
        <v>22</v>
      </c>
      <c r="D181" s="44">
        <v>45957</v>
      </c>
      <c r="E181" s="44">
        <v>45961</v>
      </c>
      <c r="F181" s="44">
        <v>45964</v>
      </c>
      <c r="G181" s="44">
        <v>45969</v>
      </c>
      <c r="H181" s="45" t="str">
        <f t="shared" si="14"/>
        <v>Delivered</v>
      </c>
      <c r="I181" s="48">
        <f t="shared" si="10"/>
        <v>4</v>
      </c>
      <c r="J181" s="48">
        <f t="shared" si="11"/>
        <v>3</v>
      </c>
      <c r="K181" s="48">
        <f t="shared" si="12"/>
        <v>5</v>
      </c>
      <c r="L181" s="39" t="s">
        <v>9</v>
      </c>
      <c r="N181" s="44">
        <v>45998</v>
      </c>
      <c r="O181" s="39">
        <v>4</v>
      </c>
      <c r="P181" s="39">
        <v>3</v>
      </c>
      <c r="Q181" s="39">
        <v>5</v>
      </c>
      <c r="R181" s="39">
        <v>4</v>
      </c>
      <c r="S181" s="51" t="str">
        <f t="shared" si="13"/>
        <v>Detractor</v>
      </c>
    </row>
    <row r="182" ht="14.25" customHeight="1" spans="1:19">
      <c r="A182" s="43" t="s">
        <v>224</v>
      </c>
      <c r="B182" s="43" t="s">
        <v>14</v>
      </c>
      <c r="C182" s="43" t="s">
        <v>21</v>
      </c>
      <c r="D182" s="44">
        <v>45933</v>
      </c>
      <c r="E182" s="44">
        <v>45934</v>
      </c>
      <c r="F182" s="44">
        <v>45935</v>
      </c>
      <c r="G182" s="44">
        <v>45937</v>
      </c>
      <c r="H182" s="45" t="str">
        <f t="shared" si="14"/>
        <v>Delivered</v>
      </c>
      <c r="I182" s="48">
        <f t="shared" si="10"/>
        <v>1</v>
      </c>
      <c r="J182" s="48">
        <f t="shared" si="11"/>
        <v>1</v>
      </c>
      <c r="K182" s="48">
        <f t="shared" si="12"/>
        <v>2</v>
      </c>
      <c r="L182" s="39" t="s">
        <v>9</v>
      </c>
      <c r="N182" s="44">
        <v>45966</v>
      </c>
      <c r="O182" s="39">
        <v>1</v>
      </c>
      <c r="P182" s="39">
        <v>1</v>
      </c>
      <c r="Q182" s="39">
        <v>2</v>
      </c>
      <c r="R182" s="39">
        <v>1</v>
      </c>
      <c r="S182" s="51" t="str">
        <f t="shared" si="13"/>
        <v>Detractor</v>
      </c>
    </row>
    <row r="183" ht="14.25" customHeight="1" spans="1:19">
      <c r="A183" s="43" t="s">
        <v>225</v>
      </c>
      <c r="B183" s="43" t="s">
        <v>11</v>
      </c>
      <c r="C183" s="43" t="s">
        <v>22</v>
      </c>
      <c r="D183" s="44">
        <v>45943</v>
      </c>
      <c r="E183" s="44">
        <v>45947</v>
      </c>
      <c r="F183" s="44">
        <v>45948</v>
      </c>
      <c r="G183" s="44">
        <v>45955</v>
      </c>
      <c r="H183" s="45" t="str">
        <f t="shared" si="14"/>
        <v>Delivered</v>
      </c>
      <c r="I183" s="48">
        <f t="shared" si="10"/>
        <v>4</v>
      </c>
      <c r="J183" s="48">
        <f t="shared" si="11"/>
        <v>1</v>
      </c>
      <c r="K183" s="48">
        <f t="shared" si="12"/>
        <v>7</v>
      </c>
      <c r="L183" s="39" t="s">
        <v>9</v>
      </c>
      <c r="N183" s="44">
        <v>45980</v>
      </c>
      <c r="O183" s="39">
        <v>4</v>
      </c>
      <c r="P183" s="39">
        <v>1</v>
      </c>
      <c r="Q183" s="39">
        <v>7</v>
      </c>
      <c r="R183" s="39">
        <v>4</v>
      </c>
      <c r="S183" s="51" t="str">
        <f t="shared" si="13"/>
        <v>Detractor</v>
      </c>
    </row>
    <row r="184" ht="14.25" customHeight="1" spans="1:19">
      <c r="A184" s="43" t="s">
        <v>226</v>
      </c>
      <c r="B184" s="43" t="s">
        <v>12</v>
      </c>
      <c r="C184" s="43" t="s">
        <v>20</v>
      </c>
      <c r="D184" s="44">
        <v>45946</v>
      </c>
      <c r="H184" s="45" t="str">
        <f t="shared" si="14"/>
        <v>Cancelled</v>
      </c>
      <c r="I184" s="48">
        <f t="shared" si="10"/>
        <v>0</v>
      </c>
      <c r="J184" s="48">
        <f t="shared" si="11"/>
        <v>0</v>
      </c>
      <c r="K184" s="48">
        <f t="shared" si="12"/>
        <v>0</v>
      </c>
      <c r="L184" s="39" t="s">
        <v>10</v>
      </c>
      <c r="M184" s="39" t="s">
        <v>44</v>
      </c>
      <c r="S184" s="51" t="str">
        <f t="shared" si="13"/>
        <v>Detractor</v>
      </c>
    </row>
    <row r="185" ht="14.25" customHeight="1" spans="1:19">
      <c r="A185" s="43" t="s">
        <v>227</v>
      </c>
      <c r="B185" s="43" t="s">
        <v>13</v>
      </c>
      <c r="C185" s="43" t="s">
        <v>21</v>
      </c>
      <c r="D185" s="44">
        <v>45933</v>
      </c>
      <c r="E185" s="44">
        <v>45934</v>
      </c>
      <c r="F185" s="44">
        <v>45937</v>
      </c>
      <c r="G185" s="44">
        <v>45944</v>
      </c>
      <c r="H185" s="45" t="str">
        <f t="shared" si="14"/>
        <v>Delivered</v>
      </c>
      <c r="I185" s="48">
        <f t="shared" si="10"/>
        <v>1</v>
      </c>
      <c r="J185" s="48">
        <f t="shared" si="11"/>
        <v>3</v>
      </c>
      <c r="K185" s="48">
        <f t="shared" si="12"/>
        <v>7</v>
      </c>
      <c r="L185" s="39" t="s">
        <v>9</v>
      </c>
      <c r="N185" s="44">
        <v>45954</v>
      </c>
      <c r="O185" s="39">
        <v>1</v>
      </c>
      <c r="P185" s="39">
        <v>3</v>
      </c>
      <c r="Q185" s="39">
        <v>7</v>
      </c>
      <c r="R185" s="39">
        <v>6</v>
      </c>
      <c r="S185" s="51" t="str">
        <f t="shared" si="13"/>
        <v>Detractor</v>
      </c>
    </row>
    <row r="186" ht="14.25" customHeight="1" spans="1:19">
      <c r="A186" s="43" t="s">
        <v>228</v>
      </c>
      <c r="B186" s="43" t="s">
        <v>11</v>
      </c>
      <c r="C186" s="43" t="s">
        <v>22</v>
      </c>
      <c r="D186" s="44">
        <v>45949</v>
      </c>
      <c r="E186" s="44">
        <v>45953</v>
      </c>
      <c r="F186" s="44">
        <v>45958</v>
      </c>
      <c r="G186" s="44">
        <v>45961</v>
      </c>
      <c r="H186" s="45" t="str">
        <f t="shared" si="14"/>
        <v>Delivered</v>
      </c>
      <c r="I186" s="48">
        <f t="shared" si="10"/>
        <v>4</v>
      </c>
      <c r="J186" s="48">
        <f t="shared" si="11"/>
        <v>5</v>
      </c>
      <c r="K186" s="48">
        <f t="shared" si="12"/>
        <v>3</v>
      </c>
      <c r="L186" s="39" t="s">
        <v>9</v>
      </c>
      <c r="N186" s="44">
        <v>45984</v>
      </c>
      <c r="O186" s="39">
        <v>4</v>
      </c>
      <c r="P186" s="39">
        <v>5</v>
      </c>
      <c r="Q186" s="39">
        <v>3</v>
      </c>
      <c r="R186" s="39">
        <v>3</v>
      </c>
      <c r="S186" s="51" t="str">
        <f t="shared" si="13"/>
        <v>Detractor</v>
      </c>
    </row>
    <row r="187" ht="14.25" customHeight="1" spans="1:19">
      <c r="A187" s="43" t="s">
        <v>229</v>
      </c>
      <c r="B187" s="43" t="s">
        <v>13</v>
      </c>
      <c r="C187" s="43" t="s">
        <v>22</v>
      </c>
      <c r="D187" s="44">
        <v>45951</v>
      </c>
      <c r="E187" s="44">
        <v>45952</v>
      </c>
      <c r="F187" s="44">
        <v>45957</v>
      </c>
      <c r="G187" s="44">
        <v>45961</v>
      </c>
      <c r="H187" s="45" t="str">
        <f t="shared" si="14"/>
        <v>Delivered</v>
      </c>
      <c r="I187" s="48">
        <f t="shared" si="10"/>
        <v>1</v>
      </c>
      <c r="J187" s="48">
        <f t="shared" si="11"/>
        <v>5</v>
      </c>
      <c r="K187" s="48">
        <f t="shared" si="12"/>
        <v>4</v>
      </c>
      <c r="L187" s="39" t="s">
        <v>9</v>
      </c>
      <c r="N187" s="44">
        <v>45991</v>
      </c>
      <c r="O187" s="39">
        <v>1</v>
      </c>
      <c r="P187" s="39">
        <v>5</v>
      </c>
      <c r="Q187" s="39">
        <v>4</v>
      </c>
      <c r="R187" s="39">
        <v>2</v>
      </c>
      <c r="S187" s="51" t="str">
        <f t="shared" si="13"/>
        <v>Detractor</v>
      </c>
    </row>
    <row r="188" ht="14.25" customHeight="1" spans="1:19">
      <c r="A188" s="43" t="s">
        <v>230</v>
      </c>
      <c r="B188" s="43" t="s">
        <v>14</v>
      </c>
      <c r="C188" s="43" t="s">
        <v>22</v>
      </c>
      <c r="D188" s="44">
        <v>45952</v>
      </c>
      <c r="E188" s="44">
        <v>45955</v>
      </c>
      <c r="F188" s="44">
        <v>45956</v>
      </c>
      <c r="G188" s="44">
        <v>45958</v>
      </c>
      <c r="H188" s="45" t="str">
        <f t="shared" si="14"/>
        <v>Delivered</v>
      </c>
      <c r="I188" s="48">
        <f t="shared" si="10"/>
        <v>3</v>
      </c>
      <c r="J188" s="48">
        <f t="shared" si="11"/>
        <v>1</v>
      </c>
      <c r="K188" s="48">
        <f t="shared" si="12"/>
        <v>2</v>
      </c>
      <c r="L188" s="39" t="s">
        <v>9</v>
      </c>
      <c r="N188" s="44">
        <v>45973</v>
      </c>
      <c r="O188" s="39">
        <v>3</v>
      </c>
      <c r="P188" s="39">
        <v>1</v>
      </c>
      <c r="Q188" s="39">
        <v>2</v>
      </c>
      <c r="R188" s="39">
        <v>3</v>
      </c>
      <c r="S188" s="51" t="str">
        <f t="shared" si="13"/>
        <v>Detractor</v>
      </c>
    </row>
    <row r="189" ht="14.25" customHeight="1" spans="1:19">
      <c r="A189" s="43" t="s">
        <v>231</v>
      </c>
      <c r="B189" s="43" t="s">
        <v>14</v>
      </c>
      <c r="C189" s="43" t="s">
        <v>21</v>
      </c>
      <c r="D189" s="44">
        <v>45932</v>
      </c>
      <c r="E189" s="44">
        <v>45937</v>
      </c>
      <c r="F189" s="44">
        <v>45940</v>
      </c>
      <c r="G189" s="44">
        <v>45945</v>
      </c>
      <c r="H189" s="45" t="str">
        <f t="shared" si="14"/>
        <v>Delivered</v>
      </c>
      <c r="I189" s="48">
        <f t="shared" si="10"/>
        <v>5</v>
      </c>
      <c r="J189" s="48">
        <f t="shared" si="11"/>
        <v>3</v>
      </c>
      <c r="K189" s="48">
        <f t="shared" si="12"/>
        <v>5</v>
      </c>
      <c r="L189" s="39" t="s">
        <v>9</v>
      </c>
      <c r="N189" s="44">
        <v>45974</v>
      </c>
      <c r="O189" s="39">
        <v>5</v>
      </c>
      <c r="P189" s="39">
        <v>3</v>
      </c>
      <c r="Q189" s="39">
        <v>5</v>
      </c>
      <c r="R189" s="39">
        <v>7</v>
      </c>
      <c r="S189" s="51" t="str">
        <f t="shared" si="13"/>
        <v>Passive</v>
      </c>
    </row>
    <row r="190" ht="14.25" customHeight="1" spans="1:19">
      <c r="A190" s="43" t="s">
        <v>232</v>
      </c>
      <c r="B190" s="43" t="s">
        <v>11</v>
      </c>
      <c r="C190" s="43" t="s">
        <v>21</v>
      </c>
      <c r="D190" s="44">
        <v>45935</v>
      </c>
      <c r="E190" s="44">
        <v>45939</v>
      </c>
      <c r="F190" s="44">
        <v>45942</v>
      </c>
      <c r="G190" s="44">
        <v>45946</v>
      </c>
      <c r="H190" s="45" t="str">
        <f t="shared" si="14"/>
        <v>Delivered</v>
      </c>
      <c r="I190" s="48">
        <f t="shared" si="10"/>
        <v>4</v>
      </c>
      <c r="J190" s="48">
        <f t="shared" si="11"/>
        <v>3</v>
      </c>
      <c r="K190" s="48">
        <f t="shared" si="12"/>
        <v>4</v>
      </c>
      <c r="L190" s="39" t="s">
        <v>9</v>
      </c>
      <c r="N190" s="44">
        <v>45969</v>
      </c>
      <c r="O190" s="39">
        <v>4</v>
      </c>
      <c r="P190" s="39">
        <v>3</v>
      </c>
      <c r="Q190" s="39">
        <v>4</v>
      </c>
      <c r="R190" s="39">
        <v>9</v>
      </c>
      <c r="S190" s="51" t="str">
        <f t="shared" si="13"/>
        <v>Promoter</v>
      </c>
    </row>
    <row r="191" ht="14.25" customHeight="1" spans="1:19">
      <c r="A191" s="43" t="s">
        <v>233</v>
      </c>
      <c r="B191" s="43" t="s">
        <v>11</v>
      </c>
      <c r="C191" s="43" t="s">
        <v>20</v>
      </c>
      <c r="D191" s="44">
        <v>45935</v>
      </c>
      <c r="H191" s="45" t="str">
        <f t="shared" si="14"/>
        <v>Cancelled</v>
      </c>
      <c r="I191" s="48">
        <f t="shared" si="10"/>
        <v>0</v>
      </c>
      <c r="J191" s="48">
        <f t="shared" si="11"/>
        <v>0</v>
      </c>
      <c r="K191" s="48">
        <f t="shared" si="12"/>
        <v>0</v>
      </c>
      <c r="L191" s="39" t="s">
        <v>10</v>
      </c>
      <c r="M191" s="39" t="s">
        <v>44</v>
      </c>
      <c r="S191" s="51" t="str">
        <f t="shared" si="13"/>
        <v>Detractor</v>
      </c>
    </row>
    <row r="192" ht="14.25" customHeight="1" spans="1:19">
      <c r="A192" s="43" t="s">
        <v>234</v>
      </c>
      <c r="B192" s="43" t="s">
        <v>13</v>
      </c>
      <c r="C192" s="43" t="s">
        <v>20</v>
      </c>
      <c r="D192" s="44">
        <v>45956</v>
      </c>
      <c r="H192" s="45" t="str">
        <f t="shared" si="14"/>
        <v>Cancelled</v>
      </c>
      <c r="I192" s="48">
        <f t="shared" si="10"/>
        <v>0</v>
      </c>
      <c r="J192" s="48">
        <f t="shared" si="11"/>
        <v>0</v>
      </c>
      <c r="K192" s="48">
        <f t="shared" si="12"/>
        <v>0</v>
      </c>
      <c r="L192" s="39" t="s">
        <v>10</v>
      </c>
      <c r="M192" s="39" t="s">
        <v>42</v>
      </c>
      <c r="S192" s="51" t="str">
        <f t="shared" si="13"/>
        <v>Detractor</v>
      </c>
    </row>
    <row r="193" ht="14.25" customHeight="1" spans="1:19">
      <c r="A193" s="43" t="s">
        <v>235</v>
      </c>
      <c r="B193" s="43" t="s">
        <v>12</v>
      </c>
      <c r="C193" s="43" t="s">
        <v>22</v>
      </c>
      <c r="D193" s="44">
        <v>45949</v>
      </c>
      <c r="E193" s="44">
        <v>45954</v>
      </c>
      <c r="F193" s="44">
        <v>45958</v>
      </c>
      <c r="G193" s="44">
        <v>45962</v>
      </c>
      <c r="H193" s="45" t="str">
        <f t="shared" si="14"/>
        <v>Delivered</v>
      </c>
      <c r="I193" s="48">
        <f t="shared" si="10"/>
        <v>5</v>
      </c>
      <c r="J193" s="48">
        <f t="shared" si="11"/>
        <v>4</v>
      </c>
      <c r="K193" s="48">
        <f t="shared" si="12"/>
        <v>4</v>
      </c>
      <c r="L193" s="39" t="s">
        <v>9</v>
      </c>
      <c r="N193" s="44">
        <v>45977</v>
      </c>
      <c r="O193" s="39">
        <v>5</v>
      </c>
      <c r="P193" s="39">
        <v>4</v>
      </c>
      <c r="Q193" s="39">
        <v>4</v>
      </c>
      <c r="R193" s="39">
        <v>10</v>
      </c>
      <c r="S193" s="51" t="str">
        <f t="shared" si="13"/>
        <v>Promoter</v>
      </c>
    </row>
    <row r="194" ht="14.25" customHeight="1" spans="1:19">
      <c r="A194" s="43" t="s">
        <v>236</v>
      </c>
      <c r="B194" s="43" t="s">
        <v>13</v>
      </c>
      <c r="C194" s="43" t="s">
        <v>22</v>
      </c>
      <c r="D194" s="44">
        <v>45961</v>
      </c>
      <c r="E194" s="44">
        <v>45965</v>
      </c>
      <c r="F194" s="44">
        <v>45970</v>
      </c>
      <c r="G194" s="44">
        <v>45972</v>
      </c>
      <c r="H194" s="45" t="str">
        <f t="shared" si="14"/>
        <v>Delivered</v>
      </c>
      <c r="I194" s="48">
        <f t="shared" si="10"/>
        <v>4</v>
      </c>
      <c r="J194" s="48">
        <f t="shared" si="11"/>
        <v>5</v>
      </c>
      <c r="K194" s="48">
        <f t="shared" si="12"/>
        <v>2</v>
      </c>
      <c r="L194" s="39" t="s">
        <v>10</v>
      </c>
      <c r="M194" s="39" t="s">
        <v>49</v>
      </c>
      <c r="O194" s="39">
        <v>4</v>
      </c>
      <c r="P194" s="39">
        <v>5</v>
      </c>
      <c r="Q194" s="39">
        <v>2</v>
      </c>
      <c r="S194" s="51" t="str">
        <f t="shared" si="13"/>
        <v>Detractor</v>
      </c>
    </row>
    <row r="195" ht="14.25" customHeight="1" spans="1:19">
      <c r="A195" s="43" t="s">
        <v>237</v>
      </c>
      <c r="B195" s="43" t="s">
        <v>11</v>
      </c>
      <c r="C195" s="43" t="s">
        <v>22</v>
      </c>
      <c r="D195" s="44">
        <v>45940</v>
      </c>
      <c r="E195" s="44">
        <v>45944</v>
      </c>
      <c r="F195" s="44">
        <v>45949</v>
      </c>
      <c r="G195" s="44">
        <v>45954</v>
      </c>
      <c r="H195" s="45" t="str">
        <f t="shared" si="14"/>
        <v>Delivered</v>
      </c>
      <c r="I195" s="48">
        <f t="shared" ref="I195:I258" si="15">IF(E195&gt;D195,E195-D195,0)</f>
        <v>4</v>
      </c>
      <c r="J195" s="48">
        <f t="shared" ref="J195:J258" si="16">IF(F195&gt;E195,F195-E195,0)</f>
        <v>5</v>
      </c>
      <c r="K195" s="48">
        <f t="shared" ref="K195:K258" si="17">IF(G195&gt;F195,G195-F195,0)</f>
        <v>5</v>
      </c>
      <c r="L195" s="39" t="s">
        <v>9</v>
      </c>
      <c r="N195" s="44">
        <v>45965</v>
      </c>
      <c r="O195" s="39">
        <v>4</v>
      </c>
      <c r="P195" s="39">
        <v>5</v>
      </c>
      <c r="Q195" s="39">
        <v>5</v>
      </c>
      <c r="R195" s="39">
        <v>5</v>
      </c>
      <c r="S195" s="51" t="str">
        <f t="shared" ref="S195:S258" si="18">IF(R195&gt;=9,"Promoter",IF(R195&gt;=7,"Passive","Detractor"))</f>
        <v>Detractor</v>
      </c>
    </row>
    <row r="196" ht="14.25" customHeight="1" spans="1:19">
      <c r="A196" s="43" t="s">
        <v>238</v>
      </c>
      <c r="B196" s="43" t="s">
        <v>13</v>
      </c>
      <c r="C196" s="43" t="s">
        <v>22</v>
      </c>
      <c r="D196" s="44">
        <v>45933</v>
      </c>
      <c r="E196" s="44">
        <v>45936</v>
      </c>
      <c r="F196" s="44">
        <v>45940</v>
      </c>
      <c r="G196" s="44">
        <v>45942</v>
      </c>
      <c r="H196" s="45" t="str">
        <f t="shared" si="14"/>
        <v>Delivered</v>
      </c>
      <c r="I196" s="48">
        <f t="shared" si="15"/>
        <v>3</v>
      </c>
      <c r="J196" s="48">
        <f t="shared" si="16"/>
        <v>4</v>
      </c>
      <c r="K196" s="48">
        <f t="shared" si="17"/>
        <v>2</v>
      </c>
      <c r="L196" s="39" t="s">
        <v>9</v>
      </c>
      <c r="N196" s="44">
        <v>45955</v>
      </c>
      <c r="O196" s="39">
        <v>3</v>
      </c>
      <c r="P196" s="39">
        <v>4</v>
      </c>
      <c r="Q196" s="39">
        <v>2</v>
      </c>
      <c r="R196" s="39">
        <v>3</v>
      </c>
      <c r="S196" s="51" t="str">
        <f t="shared" si="18"/>
        <v>Detractor</v>
      </c>
    </row>
    <row r="197" ht="14.25" customHeight="1" spans="1:19">
      <c r="A197" s="43" t="s">
        <v>239</v>
      </c>
      <c r="B197" s="43" t="s">
        <v>11</v>
      </c>
      <c r="C197" s="43" t="s">
        <v>22</v>
      </c>
      <c r="D197" s="44">
        <v>45938</v>
      </c>
      <c r="E197" s="44">
        <v>45939</v>
      </c>
      <c r="F197" s="44">
        <v>45941</v>
      </c>
      <c r="G197" s="44">
        <v>45944</v>
      </c>
      <c r="H197" s="45" t="str">
        <f t="shared" ref="H197:H260" si="19">IF(G197&lt;&gt;"","Delivered",IF(F197&lt;&gt;"","Booked",IF(E197&lt;&gt;"","Pre-Booked",IF(D197&lt;&gt;"","Cancelled",""))))</f>
        <v>Delivered</v>
      </c>
      <c r="I197" s="48">
        <f t="shared" si="15"/>
        <v>1</v>
      </c>
      <c r="J197" s="48">
        <f t="shared" si="16"/>
        <v>2</v>
      </c>
      <c r="K197" s="48">
        <f t="shared" si="17"/>
        <v>3</v>
      </c>
      <c r="L197" s="39" t="s">
        <v>9</v>
      </c>
      <c r="N197" s="44">
        <v>45964</v>
      </c>
      <c r="O197" s="39">
        <v>1</v>
      </c>
      <c r="P197" s="39">
        <v>2</v>
      </c>
      <c r="Q197" s="39">
        <v>3</v>
      </c>
      <c r="R197" s="39">
        <v>9</v>
      </c>
      <c r="S197" s="51" t="str">
        <f t="shared" si="18"/>
        <v>Promoter</v>
      </c>
    </row>
    <row r="198" ht="14.25" customHeight="1" spans="1:19">
      <c r="A198" s="43" t="s">
        <v>240</v>
      </c>
      <c r="B198" s="43" t="s">
        <v>13</v>
      </c>
      <c r="C198" s="43" t="s">
        <v>21</v>
      </c>
      <c r="D198" s="44">
        <v>45934</v>
      </c>
      <c r="E198" s="44">
        <v>45938</v>
      </c>
      <c r="F198" s="44">
        <v>45943</v>
      </c>
      <c r="G198" s="44">
        <v>45946</v>
      </c>
      <c r="H198" s="45" t="str">
        <f t="shared" si="19"/>
        <v>Delivered</v>
      </c>
      <c r="I198" s="48">
        <f t="shared" si="15"/>
        <v>4</v>
      </c>
      <c r="J198" s="48">
        <f t="shared" si="16"/>
        <v>5</v>
      </c>
      <c r="K198" s="48">
        <f t="shared" si="17"/>
        <v>3</v>
      </c>
      <c r="L198" s="39" t="s">
        <v>9</v>
      </c>
      <c r="N198" s="44">
        <v>45962</v>
      </c>
      <c r="O198" s="39">
        <v>4</v>
      </c>
      <c r="P198" s="39">
        <v>5</v>
      </c>
      <c r="Q198" s="39">
        <v>3</v>
      </c>
      <c r="R198" s="39">
        <v>10</v>
      </c>
      <c r="S198" s="51" t="str">
        <f t="shared" si="18"/>
        <v>Promoter</v>
      </c>
    </row>
    <row r="199" ht="14.25" customHeight="1" spans="1:19">
      <c r="A199" s="43" t="s">
        <v>241</v>
      </c>
      <c r="B199" s="43" t="s">
        <v>11</v>
      </c>
      <c r="C199" s="43" t="s">
        <v>20</v>
      </c>
      <c r="D199" s="44">
        <v>45948</v>
      </c>
      <c r="H199" s="45" t="str">
        <f t="shared" si="19"/>
        <v>Cancelled</v>
      </c>
      <c r="I199" s="48">
        <f t="shared" si="15"/>
        <v>0</v>
      </c>
      <c r="J199" s="48">
        <f t="shared" si="16"/>
        <v>0</v>
      </c>
      <c r="K199" s="48">
        <f t="shared" si="17"/>
        <v>0</v>
      </c>
      <c r="L199" s="39" t="s">
        <v>10</v>
      </c>
      <c r="M199" s="39" t="s">
        <v>49</v>
      </c>
      <c r="S199" s="51" t="str">
        <f t="shared" si="18"/>
        <v>Detractor</v>
      </c>
    </row>
    <row r="200" ht="14.25" customHeight="1" spans="1:19">
      <c r="A200" s="43" t="s">
        <v>242</v>
      </c>
      <c r="B200" s="43" t="s">
        <v>11</v>
      </c>
      <c r="C200" s="43" t="s">
        <v>22</v>
      </c>
      <c r="D200" s="44">
        <v>45955</v>
      </c>
      <c r="E200" s="44">
        <v>45956</v>
      </c>
      <c r="F200" s="44">
        <v>45960</v>
      </c>
      <c r="G200" s="44">
        <v>45967</v>
      </c>
      <c r="H200" s="45" t="str">
        <f t="shared" si="19"/>
        <v>Delivered</v>
      </c>
      <c r="I200" s="48">
        <f t="shared" si="15"/>
        <v>1</v>
      </c>
      <c r="J200" s="48">
        <f t="shared" si="16"/>
        <v>4</v>
      </c>
      <c r="K200" s="48">
        <f t="shared" si="17"/>
        <v>7</v>
      </c>
      <c r="L200" s="39" t="s">
        <v>9</v>
      </c>
      <c r="N200" s="44">
        <v>45983</v>
      </c>
      <c r="O200" s="39">
        <v>1</v>
      </c>
      <c r="P200" s="39">
        <v>4</v>
      </c>
      <c r="Q200" s="39">
        <v>7</v>
      </c>
      <c r="R200" s="39">
        <v>8</v>
      </c>
      <c r="S200" s="51" t="str">
        <f t="shared" si="18"/>
        <v>Passive</v>
      </c>
    </row>
    <row r="201" ht="14.25" customHeight="1" spans="1:19">
      <c r="A201" s="43" t="s">
        <v>243</v>
      </c>
      <c r="B201" s="43" t="s">
        <v>11</v>
      </c>
      <c r="C201" s="43" t="s">
        <v>20</v>
      </c>
      <c r="D201" s="44">
        <v>45944</v>
      </c>
      <c r="H201" s="45" t="str">
        <f t="shared" si="19"/>
        <v>Cancelled</v>
      </c>
      <c r="I201" s="48">
        <f t="shared" si="15"/>
        <v>0</v>
      </c>
      <c r="J201" s="48">
        <f t="shared" si="16"/>
        <v>0</v>
      </c>
      <c r="K201" s="48">
        <f t="shared" si="17"/>
        <v>0</v>
      </c>
      <c r="L201" s="39" t="s">
        <v>10</v>
      </c>
      <c r="M201" s="39" t="s">
        <v>44</v>
      </c>
      <c r="S201" s="51" t="str">
        <f t="shared" si="18"/>
        <v>Detractor</v>
      </c>
    </row>
    <row r="202" ht="14.25" customHeight="1" spans="1:19">
      <c r="A202" s="43" t="s">
        <v>244</v>
      </c>
      <c r="B202" s="43" t="s">
        <v>12</v>
      </c>
      <c r="C202" s="43" t="s">
        <v>21</v>
      </c>
      <c r="D202" s="44">
        <v>45950</v>
      </c>
      <c r="E202" s="44">
        <v>45953</v>
      </c>
      <c r="F202" s="44">
        <v>45956</v>
      </c>
      <c r="G202" s="44">
        <v>45962</v>
      </c>
      <c r="H202" s="45" t="str">
        <f t="shared" si="19"/>
        <v>Delivered</v>
      </c>
      <c r="I202" s="48">
        <f t="shared" si="15"/>
        <v>3</v>
      </c>
      <c r="J202" s="48">
        <f t="shared" si="16"/>
        <v>3</v>
      </c>
      <c r="K202" s="48">
        <f t="shared" si="17"/>
        <v>6</v>
      </c>
      <c r="L202" s="39" t="s">
        <v>9</v>
      </c>
      <c r="N202" s="44">
        <v>45985</v>
      </c>
      <c r="O202" s="39">
        <v>3</v>
      </c>
      <c r="P202" s="39">
        <v>3</v>
      </c>
      <c r="Q202" s="39">
        <v>6</v>
      </c>
      <c r="R202" s="39">
        <v>6</v>
      </c>
      <c r="S202" s="51" t="str">
        <f t="shared" si="18"/>
        <v>Detractor</v>
      </c>
    </row>
    <row r="203" ht="14.25" customHeight="1" spans="1:19">
      <c r="A203" s="43" t="s">
        <v>245</v>
      </c>
      <c r="B203" s="43" t="s">
        <v>13</v>
      </c>
      <c r="C203" s="43" t="s">
        <v>21</v>
      </c>
      <c r="D203" s="44">
        <v>45950</v>
      </c>
      <c r="E203" s="44">
        <v>45952</v>
      </c>
      <c r="F203" s="44">
        <v>45954</v>
      </c>
      <c r="G203" s="44">
        <v>45961</v>
      </c>
      <c r="H203" s="45" t="str">
        <f t="shared" si="19"/>
        <v>Delivered</v>
      </c>
      <c r="I203" s="48">
        <f t="shared" si="15"/>
        <v>2</v>
      </c>
      <c r="J203" s="48">
        <f t="shared" si="16"/>
        <v>2</v>
      </c>
      <c r="K203" s="48">
        <f t="shared" si="17"/>
        <v>7</v>
      </c>
      <c r="L203" s="39" t="s">
        <v>9</v>
      </c>
      <c r="N203" s="44">
        <v>45988</v>
      </c>
      <c r="O203" s="39">
        <v>2</v>
      </c>
      <c r="P203" s="39">
        <v>2</v>
      </c>
      <c r="Q203" s="39">
        <v>7</v>
      </c>
      <c r="R203" s="39">
        <v>2</v>
      </c>
      <c r="S203" s="51" t="str">
        <f t="shared" si="18"/>
        <v>Detractor</v>
      </c>
    </row>
    <row r="204" ht="14.25" customHeight="1" spans="1:19">
      <c r="A204" s="43" t="s">
        <v>246</v>
      </c>
      <c r="B204" s="43" t="s">
        <v>13</v>
      </c>
      <c r="C204" s="43" t="s">
        <v>21</v>
      </c>
      <c r="D204" s="44">
        <v>45956</v>
      </c>
      <c r="E204" s="44">
        <v>45961</v>
      </c>
      <c r="F204" s="44">
        <v>45962</v>
      </c>
      <c r="G204" s="44">
        <v>45966</v>
      </c>
      <c r="H204" s="45" t="str">
        <f t="shared" si="19"/>
        <v>Delivered</v>
      </c>
      <c r="I204" s="48">
        <f t="shared" si="15"/>
        <v>5</v>
      </c>
      <c r="J204" s="48">
        <f t="shared" si="16"/>
        <v>1</v>
      </c>
      <c r="K204" s="48">
        <f t="shared" si="17"/>
        <v>4</v>
      </c>
      <c r="L204" s="39" t="s">
        <v>9</v>
      </c>
      <c r="N204" s="44">
        <v>45993</v>
      </c>
      <c r="O204" s="39">
        <v>5</v>
      </c>
      <c r="P204" s="39">
        <v>1</v>
      </c>
      <c r="Q204" s="39">
        <v>4</v>
      </c>
      <c r="R204" s="39">
        <v>2</v>
      </c>
      <c r="S204" s="51" t="str">
        <f t="shared" si="18"/>
        <v>Detractor</v>
      </c>
    </row>
    <row r="205" ht="14.25" customHeight="1" spans="1:19">
      <c r="A205" s="43" t="s">
        <v>247</v>
      </c>
      <c r="B205" s="43" t="s">
        <v>13</v>
      </c>
      <c r="C205" s="43" t="s">
        <v>22</v>
      </c>
      <c r="D205" s="44">
        <v>45950</v>
      </c>
      <c r="E205" s="44">
        <v>45954</v>
      </c>
      <c r="F205" s="44">
        <v>45957</v>
      </c>
      <c r="G205" s="44">
        <v>45964</v>
      </c>
      <c r="H205" s="45" t="str">
        <f t="shared" si="19"/>
        <v>Delivered</v>
      </c>
      <c r="I205" s="48">
        <f t="shared" si="15"/>
        <v>4</v>
      </c>
      <c r="J205" s="48">
        <f t="shared" si="16"/>
        <v>3</v>
      </c>
      <c r="K205" s="48">
        <f t="shared" si="17"/>
        <v>7</v>
      </c>
      <c r="L205" s="39" t="s">
        <v>9</v>
      </c>
      <c r="N205" s="44">
        <v>45982</v>
      </c>
      <c r="O205" s="39">
        <v>4</v>
      </c>
      <c r="P205" s="39">
        <v>3</v>
      </c>
      <c r="Q205" s="39">
        <v>7</v>
      </c>
      <c r="R205" s="39">
        <v>9</v>
      </c>
      <c r="S205" s="51" t="str">
        <f t="shared" si="18"/>
        <v>Promoter</v>
      </c>
    </row>
    <row r="206" ht="14.25" customHeight="1" spans="1:19">
      <c r="A206" s="43" t="s">
        <v>248</v>
      </c>
      <c r="B206" s="43" t="s">
        <v>11</v>
      </c>
      <c r="C206" s="43" t="s">
        <v>20</v>
      </c>
      <c r="D206" s="44">
        <v>45938</v>
      </c>
      <c r="H206" s="45" t="str">
        <f t="shared" si="19"/>
        <v>Cancelled</v>
      </c>
      <c r="I206" s="48">
        <f t="shared" si="15"/>
        <v>0</v>
      </c>
      <c r="J206" s="48">
        <f t="shared" si="16"/>
        <v>0</v>
      </c>
      <c r="K206" s="48">
        <f t="shared" si="17"/>
        <v>0</v>
      </c>
      <c r="L206" s="39" t="s">
        <v>10</v>
      </c>
      <c r="M206" s="39" t="s">
        <v>79</v>
      </c>
      <c r="S206" s="51" t="str">
        <f t="shared" si="18"/>
        <v>Detractor</v>
      </c>
    </row>
    <row r="207" ht="14.25" customHeight="1" spans="1:19">
      <c r="A207" s="43" t="s">
        <v>249</v>
      </c>
      <c r="B207" s="43" t="s">
        <v>13</v>
      </c>
      <c r="C207" s="43" t="s">
        <v>21</v>
      </c>
      <c r="D207" s="44">
        <v>45955</v>
      </c>
      <c r="E207" s="44">
        <v>45958</v>
      </c>
      <c r="F207" s="44">
        <v>45960</v>
      </c>
      <c r="G207" s="44">
        <v>45966</v>
      </c>
      <c r="H207" s="45" t="str">
        <f t="shared" si="19"/>
        <v>Delivered</v>
      </c>
      <c r="I207" s="48">
        <f t="shared" si="15"/>
        <v>3</v>
      </c>
      <c r="J207" s="48">
        <f t="shared" si="16"/>
        <v>2</v>
      </c>
      <c r="K207" s="48">
        <f t="shared" si="17"/>
        <v>6</v>
      </c>
      <c r="L207" s="39" t="s">
        <v>9</v>
      </c>
      <c r="N207" s="44">
        <v>45985</v>
      </c>
      <c r="O207" s="39">
        <v>3</v>
      </c>
      <c r="P207" s="39">
        <v>2</v>
      </c>
      <c r="Q207" s="39">
        <v>6</v>
      </c>
      <c r="R207" s="39">
        <v>2</v>
      </c>
      <c r="S207" s="51" t="str">
        <f t="shared" si="18"/>
        <v>Detractor</v>
      </c>
    </row>
    <row r="208" ht="14.25" customHeight="1" spans="1:19">
      <c r="A208" s="43" t="s">
        <v>250</v>
      </c>
      <c r="B208" s="43" t="s">
        <v>13</v>
      </c>
      <c r="C208" s="43" t="s">
        <v>20</v>
      </c>
      <c r="D208" s="44">
        <v>45947</v>
      </c>
      <c r="H208" s="45" t="str">
        <f t="shared" si="19"/>
        <v>Cancelled</v>
      </c>
      <c r="I208" s="48">
        <f t="shared" si="15"/>
        <v>0</v>
      </c>
      <c r="J208" s="48">
        <f t="shared" si="16"/>
        <v>0</v>
      </c>
      <c r="K208" s="48">
        <f t="shared" si="17"/>
        <v>0</v>
      </c>
      <c r="L208" s="39" t="s">
        <v>10</v>
      </c>
      <c r="M208" s="39" t="s">
        <v>79</v>
      </c>
      <c r="S208" s="51" t="str">
        <f t="shared" si="18"/>
        <v>Detractor</v>
      </c>
    </row>
    <row r="209" ht="14.25" customHeight="1" spans="1:19">
      <c r="A209" s="43" t="s">
        <v>251</v>
      </c>
      <c r="B209" s="43" t="s">
        <v>11</v>
      </c>
      <c r="C209" s="43" t="s">
        <v>22</v>
      </c>
      <c r="D209" s="44">
        <v>45943</v>
      </c>
      <c r="E209" s="44">
        <v>45944</v>
      </c>
      <c r="F209" s="44">
        <v>45948</v>
      </c>
      <c r="G209" s="44">
        <v>45955</v>
      </c>
      <c r="H209" s="45" t="str">
        <f t="shared" si="19"/>
        <v>Delivered</v>
      </c>
      <c r="I209" s="48">
        <f t="shared" si="15"/>
        <v>1</v>
      </c>
      <c r="J209" s="48">
        <f t="shared" si="16"/>
        <v>4</v>
      </c>
      <c r="K209" s="48">
        <f t="shared" si="17"/>
        <v>7</v>
      </c>
      <c r="L209" s="39" t="s">
        <v>9</v>
      </c>
      <c r="N209" s="44">
        <v>45974</v>
      </c>
      <c r="O209" s="39">
        <v>1</v>
      </c>
      <c r="P209" s="39">
        <v>4</v>
      </c>
      <c r="Q209" s="39">
        <v>7</v>
      </c>
      <c r="R209" s="39">
        <v>7</v>
      </c>
      <c r="S209" s="51" t="str">
        <f t="shared" si="18"/>
        <v>Passive</v>
      </c>
    </row>
    <row r="210" ht="14.25" customHeight="1" spans="1:19">
      <c r="A210" s="43" t="s">
        <v>252</v>
      </c>
      <c r="B210" s="43" t="s">
        <v>14</v>
      </c>
      <c r="C210" s="43" t="s">
        <v>20</v>
      </c>
      <c r="D210" s="44">
        <v>45945</v>
      </c>
      <c r="H210" s="45" t="str">
        <f t="shared" si="19"/>
        <v>Cancelled</v>
      </c>
      <c r="I210" s="48">
        <f t="shared" si="15"/>
        <v>0</v>
      </c>
      <c r="J210" s="48">
        <f t="shared" si="16"/>
        <v>0</v>
      </c>
      <c r="K210" s="48">
        <f t="shared" si="17"/>
        <v>0</v>
      </c>
      <c r="L210" s="39" t="s">
        <v>10</v>
      </c>
      <c r="M210" s="39" t="s">
        <v>117</v>
      </c>
      <c r="S210" s="51" t="str">
        <f t="shared" si="18"/>
        <v>Detractor</v>
      </c>
    </row>
    <row r="211" ht="14.25" customHeight="1" spans="1:19">
      <c r="A211" s="43" t="s">
        <v>253</v>
      </c>
      <c r="B211" s="43" t="s">
        <v>11</v>
      </c>
      <c r="C211" s="43" t="s">
        <v>21</v>
      </c>
      <c r="D211" s="44">
        <v>45960</v>
      </c>
      <c r="E211" s="44">
        <v>45964</v>
      </c>
      <c r="F211" s="44">
        <v>45967</v>
      </c>
      <c r="G211" s="44">
        <v>45972</v>
      </c>
      <c r="H211" s="45" t="str">
        <f t="shared" si="19"/>
        <v>Delivered</v>
      </c>
      <c r="I211" s="48">
        <f t="shared" si="15"/>
        <v>4</v>
      </c>
      <c r="J211" s="48">
        <f t="shared" si="16"/>
        <v>3</v>
      </c>
      <c r="K211" s="48">
        <f t="shared" si="17"/>
        <v>5</v>
      </c>
      <c r="L211" s="39" t="s">
        <v>9</v>
      </c>
      <c r="N211" s="44">
        <v>45989</v>
      </c>
      <c r="O211" s="39">
        <v>4</v>
      </c>
      <c r="P211" s="39">
        <v>3</v>
      </c>
      <c r="Q211" s="39">
        <v>5</v>
      </c>
      <c r="R211" s="39">
        <v>9</v>
      </c>
      <c r="S211" s="51" t="str">
        <f t="shared" si="18"/>
        <v>Promoter</v>
      </c>
    </row>
    <row r="212" ht="14.25" customHeight="1" spans="1:19">
      <c r="A212" s="43" t="s">
        <v>254</v>
      </c>
      <c r="B212" s="43" t="s">
        <v>13</v>
      </c>
      <c r="C212" s="43" t="s">
        <v>20</v>
      </c>
      <c r="D212" s="44">
        <v>45945</v>
      </c>
      <c r="H212" s="45" t="str">
        <f t="shared" si="19"/>
        <v>Cancelled</v>
      </c>
      <c r="I212" s="48">
        <f t="shared" si="15"/>
        <v>0</v>
      </c>
      <c r="J212" s="48">
        <f t="shared" si="16"/>
        <v>0</v>
      </c>
      <c r="K212" s="48">
        <f t="shared" si="17"/>
        <v>0</v>
      </c>
      <c r="L212" s="39" t="s">
        <v>10</v>
      </c>
      <c r="M212" s="39" t="s">
        <v>117</v>
      </c>
      <c r="S212" s="51" t="str">
        <f t="shared" si="18"/>
        <v>Detractor</v>
      </c>
    </row>
    <row r="213" ht="14.25" customHeight="1" spans="1:19">
      <c r="A213" s="43" t="s">
        <v>255</v>
      </c>
      <c r="B213" s="43" t="s">
        <v>11</v>
      </c>
      <c r="C213" s="43" t="s">
        <v>22</v>
      </c>
      <c r="D213" s="44">
        <v>45940</v>
      </c>
      <c r="E213" s="44">
        <v>45941</v>
      </c>
      <c r="F213" s="44">
        <v>45943</v>
      </c>
      <c r="G213" s="44">
        <v>45946</v>
      </c>
      <c r="H213" s="45" t="str">
        <f t="shared" si="19"/>
        <v>Delivered</v>
      </c>
      <c r="I213" s="48">
        <f t="shared" si="15"/>
        <v>1</v>
      </c>
      <c r="J213" s="48">
        <f t="shared" si="16"/>
        <v>2</v>
      </c>
      <c r="K213" s="48">
        <f t="shared" si="17"/>
        <v>3</v>
      </c>
      <c r="L213" s="39" t="s">
        <v>10</v>
      </c>
      <c r="M213" s="39" t="s">
        <v>42</v>
      </c>
      <c r="O213" s="39">
        <v>1</v>
      </c>
      <c r="P213" s="39">
        <v>2</v>
      </c>
      <c r="Q213" s="39">
        <v>3</v>
      </c>
      <c r="S213" s="51" t="str">
        <f t="shared" si="18"/>
        <v>Detractor</v>
      </c>
    </row>
    <row r="214" ht="14.25" customHeight="1" spans="1:19">
      <c r="A214" s="43" t="s">
        <v>256</v>
      </c>
      <c r="B214" s="43" t="s">
        <v>14</v>
      </c>
      <c r="C214" s="43" t="s">
        <v>21</v>
      </c>
      <c r="D214" s="44">
        <v>45958</v>
      </c>
      <c r="E214" s="44">
        <v>45960</v>
      </c>
      <c r="F214" s="44">
        <v>45961</v>
      </c>
      <c r="G214" s="44">
        <v>45967</v>
      </c>
      <c r="H214" s="45" t="str">
        <f t="shared" si="19"/>
        <v>Delivered</v>
      </c>
      <c r="I214" s="48">
        <f t="shared" si="15"/>
        <v>2</v>
      </c>
      <c r="J214" s="48">
        <f t="shared" si="16"/>
        <v>1</v>
      </c>
      <c r="K214" s="48">
        <f t="shared" si="17"/>
        <v>6</v>
      </c>
      <c r="L214" s="39" t="s">
        <v>9</v>
      </c>
      <c r="N214" s="44">
        <v>45980</v>
      </c>
      <c r="O214" s="39">
        <v>2</v>
      </c>
      <c r="P214" s="39">
        <v>1</v>
      </c>
      <c r="Q214" s="39">
        <v>6</v>
      </c>
      <c r="R214" s="39">
        <v>4</v>
      </c>
      <c r="S214" s="51" t="str">
        <f t="shared" si="18"/>
        <v>Detractor</v>
      </c>
    </row>
    <row r="215" ht="14.25" customHeight="1" spans="1:19">
      <c r="A215" s="43" t="s">
        <v>257</v>
      </c>
      <c r="B215" s="43" t="s">
        <v>11</v>
      </c>
      <c r="C215" s="43" t="s">
        <v>21</v>
      </c>
      <c r="D215" s="44">
        <v>45949</v>
      </c>
      <c r="E215" s="44">
        <v>45953</v>
      </c>
      <c r="F215" s="44">
        <v>45956</v>
      </c>
      <c r="G215" s="44">
        <v>45959</v>
      </c>
      <c r="H215" s="45" t="str">
        <f t="shared" si="19"/>
        <v>Delivered</v>
      </c>
      <c r="I215" s="48">
        <f t="shared" si="15"/>
        <v>4</v>
      </c>
      <c r="J215" s="48">
        <f t="shared" si="16"/>
        <v>3</v>
      </c>
      <c r="K215" s="48">
        <f t="shared" si="17"/>
        <v>3</v>
      </c>
      <c r="L215" s="39" t="s">
        <v>9</v>
      </c>
      <c r="N215" s="44">
        <v>45970</v>
      </c>
      <c r="O215" s="39">
        <v>4</v>
      </c>
      <c r="P215" s="39">
        <v>3</v>
      </c>
      <c r="Q215" s="39">
        <v>3</v>
      </c>
      <c r="R215" s="39">
        <v>2</v>
      </c>
      <c r="S215" s="51" t="str">
        <f t="shared" si="18"/>
        <v>Detractor</v>
      </c>
    </row>
    <row r="216" ht="14.25" customHeight="1" spans="1:19">
      <c r="A216" s="43" t="s">
        <v>258</v>
      </c>
      <c r="B216" s="43" t="s">
        <v>13</v>
      </c>
      <c r="C216" s="43" t="s">
        <v>20</v>
      </c>
      <c r="D216" s="44">
        <v>45944</v>
      </c>
      <c r="H216" s="45" t="str">
        <f t="shared" si="19"/>
        <v>Cancelled</v>
      </c>
      <c r="I216" s="48">
        <f t="shared" si="15"/>
        <v>0</v>
      </c>
      <c r="J216" s="48">
        <f t="shared" si="16"/>
        <v>0</v>
      </c>
      <c r="K216" s="48">
        <f t="shared" si="17"/>
        <v>0</v>
      </c>
      <c r="L216" s="39" t="s">
        <v>10</v>
      </c>
      <c r="M216" s="39" t="s">
        <v>44</v>
      </c>
      <c r="S216" s="51" t="str">
        <f t="shared" si="18"/>
        <v>Detractor</v>
      </c>
    </row>
    <row r="217" ht="14.25" customHeight="1" spans="1:19">
      <c r="A217" s="43" t="s">
        <v>259</v>
      </c>
      <c r="B217" s="43" t="s">
        <v>14</v>
      </c>
      <c r="C217" s="43" t="s">
        <v>20</v>
      </c>
      <c r="D217" s="44">
        <v>45940</v>
      </c>
      <c r="H217" s="45" t="str">
        <f t="shared" si="19"/>
        <v>Cancelled</v>
      </c>
      <c r="I217" s="48">
        <f t="shared" si="15"/>
        <v>0</v>
      </c>
      <c r="J217" s="48">
        <f t="shared" si="16"/>
        <v>0</v>
      </c>
      <c r="K217" s="48">
        <f t="shared" si="17"/>
        <v>0</v>
      </c>
      <c r="L217" s="39" t="s">
        <v>10</v>
      </c>
      <c r="M217" s="39" t="s">
        <v>117</v>
      </c>
      <c r="S217" s="51" t="str">
        <f t="shared" si="18"/>
        <v>Detractor</v>
      </c>
    </row>
    <row r="218" ht="14.25" customHeight="1" spans="1:19">
      <c r="A218" s="43" t="s">
        <v>260</v>
      </c>
      <c r="B218" s="43" t="s">
        <v>12</v>
      </c>
      <c r="C218" s="43" t="s">
        <v>21</v>
      </c>
      <c r="D218" s="44">
        <v>45949</v>
      </c>
      <c r="E218" s="44">
        <v>45954</v>
      </c>
      <c r="F218" s="44">
        <v>45957</v>
      </c>
      <c r="G218" s="44">
        <v>45960</v>
      </c>
      <c r="H218" s="45" t="str">
        <f t="shared" si="19"/>
        <v>Delivered</v>
      </c>
      <c r="I218" s="48">
        <f t="shared" si="15"/>
        <v>5</v>
      </c>
      <c r="J218" s="48">
        <f t="shared" si="16"/>
        <v>3</v>
      </c>
      <c r="K218" s="48">
        <f t="shared" si="17"/>
        <v>3</v>
      </c>
      <c r="L218" s="39" t="s">
        <v>9</v>
      </c>
      <c r="N218" s="44">
        <v>45982</v>
      </c>
      <c r="O218" s="39">
        <v>5</v>
      </c>
      <c r="P218" s="39">
        <v>3</v>
      </c>
      <c r="Q218" s="39">
        <v>3</v>
      </c>
      <c r="R218" s="39">
        <v>0</v>
      </c>
      <c r="S218" s="51" t="str">
        <f t="shared" si="18"/>
        <v>Detractor</v>
      </c>
    </row>
    <row r="219" ht="14.25" customHeight="1" spans="1:19">
      <c r="A219" s="43" t="s">
        <v>261</v>
      </c>
      <c r="B219" s="43" t="s">
        <v>13</v>
      </c>
      <c r="C219" s="43" t="s">
        <v>22</v>
      </c>
      <c r="D219" s="44">
        <v>45950</v>
      </c>
      <c r="E219" s="44">
        <v>45954</v>
      </c>
      <c r="F219" s="44">
        <v>45959</v>
      </c>
      <c r="G219" s="44">
        <v>45962</v>
      </c>
      <c r="H219" s="45" t="str">
        <f t="shared" si="19"/>
        <v>Delivered</v>
      </c>
      <c r="I219" s="48">
        <f t="shared" si="15"/>
        <v>4</v>
      </c>
      <c r="J219" s="48">
        <f t="shared" si="16"/>
        <v>5</v>
      </c>
      <c r="K219" s="48">
        <f t="shared" si="17"/>
        <v>3</v>
      </c>
      <c r="L219" s="39" t="s">
        <v>10</v>
      </c>
      <c r="M219" s="39" t="s">
        <v>117</v>
      </c>
      <c r="O219" s="39">
        <v>4</v>
      </c>
      <c r="P219" s="39">
        <v>5</v>
      </c>
      <c r="Q219" s="39">
        <v>3</v>
      </c>
      <c r="S219" s="51" t="str">
        <f t="shared" si="18"/>
        <v>Detractor</v>
      </c>
    </row>
    <row r="220" ht="14.25" customHeight="1" spans="1:19">
      <c r="A220" s="43" t="s">
        <v>262</v>
      </c>
      <c r="B220" s="43" t="s">
        <v>14</v>
      </c>
      <c r="C220" s="43" t="s">
        <v>20</v>
      </c>
      <c r="D220" s="44">
        <v>45932</v>
      </c>
      <c r="H220" s="45" t="str">
        <f t="shared" si="19"/>
        <v>Cancelled</v>
      </c>
      <c r="I220" s="48">
        <f t="shared" si="15"/>
        <v>0</v>
      </c>
      <c r="J220" s="48">
        <f t="shared" si="16"/>
        <v>0</v>
      </c>
      <c r="K220" s="48">
        <f t="shared" si="17"/>
        <v>0</v>
      </c>
      <c r="L220" s="39" t="s">
        <v>10</v>
      </c>
      <c r="M220" s="39" t="s">
        <v>44</v>
      </c>
      <c r="S220" s="51" t="str">
        <f t="shared" si="18"/>
        <v>Detractor</v>
      </c>
    </row>
    <row r="221" ht="14.25" customHeight="1" spans="1:19">
      <c r="A221" s="43" t="s">
        <v>263</v>
      </c>
      <c r="B221" s="43" t="s">
        <v>14</v>
      </c>
      <c r="C221" s="43" t="s">
        <v>20</v>
      </c>
      <c r="D221" s="44">
        <v>45950</v>
      </c>
      <c r="H221" s="45" t="str">
        <f t="shared" si="19"/>
        <v>Cancelled</v>
      </c>
      <c r="I221" s="48">
        <f t="shared" si="15"/>
        <v>0</v>
      </c>
      <c r="J221" s="48">
        <f t="shared" si="16"/>
        <v>0</v>
      </c>
      <c r="K221" s="48">
        <f t="shared" si="17"/>
        <v>0</v>
      </c>
      <c r="L221" s="39" t="s">
        <v>10</v>
      </c>
      <c r="M221" s="39" t="s">
        <v>42</v>
      </c>
      <c r="S221" s="51" t="str">
        <f t="shared" si="18"/>
        <v>Detractor</v>
      </c>
    </row>
    <row r="222" ht="14.25" customHeight="1" spans="1:19">
      <c r="A222" s="43" t="s">
        <v>264</v>
      </c>
      <c r="B222" s="43" t="s">
        <v>12</v>
      </c>
      <c r="C222" s="43" t="s">
        <v>20</v>
      </c>
      <c r="D222" s="44">
        <v>45961</v>
      </c>
      <c r="H222" s="45" t="str">
        <f t="shared" si="19"/>
        <v>Cancelled</v>
      </c>
      <c r="I222" s="48">
        <f t="shared" si="15"/>
        <v>0</v>
      </c>
      <c r="J222" s="48">
        <f t="shared" si="16"/>
        <v>0</v>
      </c>
      <c r="K222" s="48">
        <f t="shared" si="17"/>
        <v>0</v>
      </c>
      <c r="L222" s="39" t="s">
        <v>10</v>
      </c>
      <c r="M222" s="39" t="s">
        <v>117</v>
      </c>
      <c r="S222" s="51" t="str">
        <f t="shared" si="18"/>
        <v>Detractor</v>
      </c>
    </row>
    <row r="223" ht="14.25" customHeight="1" spans="1:19">
      <c r="A223" s="43" t="s">
        <v>265</v>
      </c>
      <c r="B223" s="43" t="s">
        <v>11</v>
      </c>
      <c r="C223" s="43" t="s">
        <v>22</v>
      </c>
      <c r="D223" s="44">
        <v>45954</v>
      </c>
      <c r="E223" s="44">
        <v>45959</v>
      </c>
      <c r="F223" s="44">
        <v>45961</v>
      </c>
      <c r="G223" s="44">
        <v>45963</v>
      </c>
      <c r="H223" s="45" t="str">
        <f t="shared" si="19"/>
        <v>Delivered</v>
      </c>
      <c r="I223" s="48">
        <f t="shared" si="15"/>
        <v>5</v>
      </c>
      <c r="J223" s="48">
        <f t="shared" si="16"/>
        <v>2</v>
      </c>
      <c r="K223" s="48">
        <f t="shared" si="17"/>
        <v>2</v>
      </c>
      <c r="L223" s="39" t="s">
        <v>9</v>
      </c>
      <c r="N223" s="44">
        <v>45991</v>
      </c>
      <c r="O223" s="39">
        <v>5</v>
      </c>
      <c r="P223" s="39">
        <v>2</v>
      </c>
      <c r="Q223" s="39">
        <v>2</v>
      </c>
      <c r="R223" s="39">
        <v>3</v>
      </c>
      <c r="S223" s="51" t="str">
        <f t="shared" si="18"/>
        <v>Detractor</v>
      </c>
    </row>
    <row r="224" ht="14.25" customHeight="1" spans="1:19">
      <c r="A224" s="43" t="s">
        <v>266</v>
      </c>
      <c r="B224" s="43" t="s">
        <v>11</v>
      </c>
      <c r="C224" s="43" t="s">
        <v>22</v>
      </c>
      <c r="D224" s="44">
        <v>45934</v>
      </c>
      <c r="E224" s="44">
        <v>45935</v>
      </c>
      <c r="F224" s="44">
        <v>45937</v>
      </c>
      <c r="G224" s="44">
        <v>45943</v>
      </c>
      <c r="H224" s="45" t="str">
        <f t="shared" si="19"/>
        <v>Delivered</v>
      </c>
      <c r="I224" s="48">
        <f t="shared" si="15"/>
        <v>1</v>
      </c>
      <c r="J224" s="48">
        <f t="shared" si="16"/>
        <v>2</v>
      </c>
      <c r="K224" s="48">
        <f t="shared" si="17"/>
        <v>6</v>
      </c>
      <c r="L224" s="39" t="s">
        <v>9</v>
      </c>
      <c r="N224" s="44">
        <v>45970</v>
      </c>
      <c r="O224" s="39">
        <v>1</v>
      </c>
      <c r="P224" s="39">
        <v>2</v>
      </c>
      <c r="Q224" s="39">
        <v>6</v>
      </c>
      <c r="R224" s="39">
        <v>1</v>
      </c>
      <c r="S224" s="51" t="str">
        <f t="shared" si="18"/>
        <v>Detractor</v>
      </c>
    </row>
    <row r="225" ht="14.25" customHeight="1" spans="1:19">
      <c r="A225" s="43" t="s">
        <v>267</v>
      </c>
      <c r="B225" s="43" t="s">
        <v>13</v>
      </c>
      <c r="C225" s="43" t="s">
        <v>22</v>
      </c>
      <c r="D225" s="44">
        <v>45961</v>
      </c>
      <c r="E225" s="44">
        <v>45965</v>
      </c>
      <c r="F225" s="44">
        <v>45970</v>
      </c>
      <c r="G225" s="44">
        <v>45974</v>
      </c>
      <c r="H225" s="45" t="str">
        <f t="shared" si="19"/>
        <v>Delivered</v>
      </c>
      <c r="I225" s="48">
        <f t="shared" si="15"/>
        <v>4</v>
      </c>
      <c r="J225" s="48">
        <f t="shared" si="16"/>
        <v>5</v>
      </c>
      <c r="K225" s="48">
        <f t="shared" si="17"/>
        <v>4</v>
      </c>
      <c r="L225" s="39" t="s">
        <v>9</v>
      </c>
      <c r="N225" s="44">
        <v>45999</v>
      </c>
      <c r="O225" s="39">
        <v>4</v>
      </c>
      <c r="P225" s="39">
        <v>5</v>
      </c>
      <c r="Q225" s="39">
        <v>4</v>
      </c>
      <c r="R225" s="39">
        <v>7</v>
      </c>
      <c r="S225" s="51" t="str">
        <f t="shared" si="18"/>
        <v>Passive</v>
      </c>
    </row>
    <row r="226" ht="14.25" customHeight="1" spans="1:19">
      <c r="A226" s="43" t="s">
        <v>268</v>
      </c>
      <c r="B226" s="43" t="s">
        <v>12</v>
      </c>
      <c r="C226" s="43" t="s">
        <v>22</v>
      </c>
      <c r="D226" s="44">
        <v>45955</v>
      </c>
      <c r="E226" s="44">
        <v>45958</v>
      </c>
      <c r="F226" s="44">
        <v>45962</v>
      </c>
      <c r="G226" s="44">
        <v>45968</v>
      </c>
      <c r="H226" s="45" t="str">
        <f t="shared" si="19"/>
        <v>Delivered</v>
      </c>
      <c r="I226" s="48">
        <f t="shared" si="15"/>
        <v>3</v>
      </c>
      <c r="J226" s="48">
        <f t="shared" si="16"/>
        <v>4</v>
      </c>
      <c r="K226" s="48">
        <f t="shared" si="17"/>
        <v>6</v>
      </c>
      <c r="L226" s="39" t="s">
        <v>9</v>
      </c>
      <c r="N226" s="44">
        <v>45982</v>
      </c>
      <c r="O226" s="39">
        <v>3</v>
      </c>
      <c r="P226" s="39">
        <v>4</v>
      </c>
      <c r="Q226" s="39">
        <v>6</v>
      </c>
      <c r="R226" s="39">
        <v>3</v>
      </c>
      <c r="S226" s="51" t="str">
        <f t="shared" si="18"/>
        <v>Detractor</v>
      </c>
    </row>
    <row r="227" ht="14.25" customHeight="1" spans="1:19">
      <c r="A227" s="43" t="s">
        <v>269</v>
      </c>
      <c r="B227" s="43" t="s">
        <v>11</v>
      </c>
      <c r="C227" s="43" t="s">
        <v>22</v>
      </c>
      <c r="D227" s="44">
        <v>45937</v>
      </c>
      <c r="E227" s="44">
        <v>45940</v>
      </c>
      <c r="F227" s="44">
        <v>45944</v>
      </c>
      <c r="G227" s="44">
        <v>45948</v>
      </c>
      <c r="H227" s="45" t="str">
        <f t="shared" si="19"/>
        <v>Delivered</v>
      </c>
      <c r="I227" s="48">
        <f t="shared" si="15"/>
        <v>3</v>
      </c>
      <c r="J227" s="48">
        <f t="shared" si="16"/>
        <v>4</v>
      </c>
      <c r="K227" s="48">
        <f t="shared" si="17"/>
        <v>4</v>
      </c>
      <c r="L227" s="39" t="s">
        <v>10</v>
      </c>
      <c r="M227" s="39" t="s">
        <v>42</v>
      </c>
      <c r="O227" s="39">
        <v>3</v>
      </c>
      <c r="P227" s="39">
        <v>4</v>
      </c>
      <c r="Q227" s="39">
        <v>4</v>
      </c>
      <c r="S227" s="51" t="str">
        <f t="shared" si="18"/>
        <v>Detractor</v>
      </c>
    </row>
    <row r="228" ht="14.25" customHeight="1" spans="1:19">
      <c r="A228" s="43" t="s">
        <v>270</v>
      </c>
      <c r="B228" s="43" t="s">
        <v>12</v>
      </c>
      <c r="C228" s="43" t="s">
        <v>22</v>
      </c>
      <c r="D228" s="44">
        <v>45951</v>
      </c>
      <c r="E228" s="44">
        <v>45953</v>
      </c>
      <c r="F228" s="44">
        <v>45958</v>
      </c>
      <c r="G228" s="44">
        <v>45964</v>
      </c>
      <c r="H228" s="45" t="str">
        <f t="shared" si="19"/>
        <v>Delivered</v>
      </c>
      <c r="I228" s="48">
        <f t="shared" si="15"/>
        <v>2</v>
      </c>
      <c r="J228" s="48">
        <f t="shared" si="16"/>
        <v>5</v>
      </c>
      <c r="K228" s="48">
        <f t="shared" si="17"/>
        <v>6</v>
      </c>
      <c r="L228" s="39" t="s">
        <v>10</v>
      </c>
      <c r="M228" s="39" t="s">
        <v>49</v>
      </c>
      <c r="O228" s="39">
        <v>2</v>
      </c>
      <c r="P228" s="39">
        <v>5</v>
      </c>
      <c r="Q228" s="39">
        <v>6</v>
      </c>
      <c r="S228" s="51" t="str">
        <f t="shared" si="18"/>
        <v>Detractor</v>
      </c>
    </row>
    <row r="229" ht="14.25" customHeight="1" spans="1:19">
      <c r="A229" s="43" t="s">
        <v>271</v>
      </c>
      <c r="B229" s="43" t="s">
        <v>11</v>
      </c>
      <c r="C229" s="43" t="s">
        <v>21</v>
      </c>
      <c r="D229" s="44">
        <v>45937</v>
      </c>
      <c r="E229" s="44">
        <v>45940</v>
      </c>
      <c r="F229" s="44">
        <v>45943</v>
      </c>
      <c r="G229" s="44">
        <v>45949</v>
      </c>
      <c r="H229" s="45" t="str">
        <f t="shared" si="19"/>
        <v>Delivered</v>
      </c>
      <c r="I229" s="48">
        <f t="shared" si="15"/>
        <v>3</v>
      </c>
      <c r="J229" s="48">
        <f t="shared" si="16"/>
        <v>3</v>
      </c>
      <c r="K229" s="48">
        <f t="shared" si="17"/>
        <v>6</v>
      </c>
      <c r="L229" s="39" t="s">
        <v>9</v>
      </c>
      <c r="N229" s="44">
        <v>45960</v>
      </c>
      <c r="O229" s="39">
        <v>3</v>
      </c>
      <c r="P229" s="39">
        <v>3</v>
      </c>
      <c r="Q229" s="39">
        <v>6</v>
      </c>
      <c r="R229" s="39">
        <v>4</v>
      </c>
      <c r="S229" s="51" t="str">
        <f t="shared" si="18"/>
        <v>Detractor</v>
      </c>
    </row>
    <row r="230" ht="14.25" customHeight="1" spans="1:19">
      <c r="A230" s="43" t="s">
        <v>272</v>
      </c>
      <c r="B230" s="43" t="s">
        <v>14</v>
      </c>
      <c r="C230" s="43" t="s">
        <v>20</v>
      </c>
      <c r="D230" s="44">
        <v>45939</v>
      </c>
      <c r="H230" s="45" t="str">
        <f t="shared" si="19"/>
        <v>Cancelled</v>
      </c>
      <c r="I230" s="48">
        <f t="shared" si="15"/>
        <v>0</v>
      </c>
      <c r="J230" s="48">
        <f t="shared" si="16"/>
        <v>0</v>
      </c>
      <c r="K230" s="48">
        <f t="shared" si="17"/>
        <v>0</v>
      </c>
      <c r="L230" s="39" t="s">
        <v>10</v>
      </c>
      <c r="M230" s="39" t="s">
        <v>42</v>
      </c>
      <c r="S230" s="51" t="str">
        <f t="shared" si="18"/>
        <v>Detractor</v>
      </c>
    </row>
    <row r="231" ht="14.25" customHeight="1" spans="1:19">
      <c r="A231" s="43" t="s">
        <v>273</v>
      </c>
      <c r="B231" s="43" t="s">
        <v>11</v>
      </c>
      <c r="C231" s="43" t="s">
        <v>22</v>
      </c>
      <c r="D231" s="44">
        <v>45952</v>
      </c>
      <c r="E231" s="44">
        <v>45954</v>
      </c>
      <c r="F231" s="44">
        <v>45955</v>
      </c>
      <c r="G231" s="44">
        <v>45958</v>
      </c>
      <c r="H231" s="45" t="str">
        <f t="shared" si="19"/>
        <v>Delivered</v>
      </c>
      <c r="I231" s="48">
        <f t="shared" si="15"/>
        <v>2</v>
      </c>
      <c r="J231" s="48">
        <f t="shared" si="16"/>
        <v>1</v>
      </c>
      <c r="K231" s="48">
        <f t="shared" si="17"/>
        <v>3</v>
      </c>
      <c r="L231" s="39" t="s">
        <v>9</v>
      </c>
      <c r="N231" s="44">
        <v>45979</v>
      </c>
      <c r="O231" s="39">
        <v>2</v>
      </c>
      <c r="P231" s="39">
        <v>1</v>
      </c>
      <c r="Q231" s="39">
        <v>3</v>
      </c>
      <c r="R231" s="39">
        <v>2</v>
      </c>
      <c r="S231" s="51" t="str">
        <f t="shared" si="18"/>
        <v>Detractor</v>
      </c>
    </row>
    <row r="232" ht="14.25" customHeight="1" spans="1:19">
      <c r="A232" s="43" t="s">
        <v>274</v>
      </c>
      <c r="B232" s="43" t="s">
        <v>12</v>
      </c>
      <c r="C232" s="43" t="s">
        <v>22</v>
      </c>
      <c r="D232" s="44">
        <v>45933</v>
      </c>
      <c r="E232" s="44">
        <v>45934</v>
      </c>
      <c r="F232" s="44">
        <v>45938</v>
      </c>
      <c r="G232" s="44">
        <v>45942</v>
      </c>
      <c r="H232" s="45" t="str">
        <f t="shared" si="19"/>
        <v>Delivered</v>
      </c>
      <c r="I232" s="48">
        <f t="shared" si="15"/>
        <v>1</v>
      </c>
      <c r="J232" s="48">
        <f t="shared" si="16"/>
        <v>4</v>
      </c>
      <c r="K232" s="48">
        <f t="shared" si="17"/>
        <v>4</v>
      </c>
      <c r="L232" s="39" t="s">
        <v>9</v>
      </c>
      <c r="N232" s="44">
        <v>45952</v>
      </c>
      <c r="O232" s="39">
        <v>1</v>
      </c>
      <c r="P232" s="39">
        <v>4</v>
      </c>
      <c r="Q232" s="39">
        <v>4</v>
      </c>
      <c r="R232" s="39">
        <v>2</v>
      </c>
      <c r="S232" s="51" t="str">
        <f t="shared" si="18"/>
        <v>Detractor</v>
      </c>
    </row>
    <row r="233" ht="14.25" customHeight="1" spans="1:19">
      <c r="A233" s="43" t="s">
        <v>275</v>
      </c>
      <c r="B233" s="43" t="s">
        <v>14</v>
      </c>
      <c r="C233" s="43" t="s">
        <v>22</v>
      </c>
      <c r="D233" s="44">
        <v>45936</v>
      </c>
      <c r="E233" s="44">
        <v>45941</v>
      </c>
      <c r="F233" s="44">
        <v>45942</v>
      </c>
      <c r="G233" s="44">
        <v>45949</v>
      </c>
      <c r="H233" s="45" t="str">
        <f t="shared" si="19"/>
        <v>Delivered</v>
      </c>
      <c r="I233" s="48">
        <f t="shared" si="15"/>
        <v>5</v>
      </c>
      <c r="J233" s="48">
        <f t="shared" si="16"/>
        <v>1</v>
      </c>
      <c r="K233" s="48">
        <f t="shared" si="17"/>
        <v>7</v>
      </c>
      <c r="L233" s="39" t="s">
        <v>9</v>
      </c>
      <c r="N233" s="44">
        <v>45972</v>
      </c>
      <c r="O233" s="39">
        <v>5</v>
      </c>
      <c r="P233" s="39">
        <v>1</v>
      </c>
      <c r="Q233" s="39">
        <v>7</v>
      </c>
      <c r="R233" s="39">
        <v>8</v>
      </c>
      <c r="S233" s="51" t="str">
        <f t="shared" si="18"/>
        <v>Passive</v>
      </c>
    </row>
    <row r="234" ht="14.25" customHeight="1" spans="1:19">
      <c r="A234" s="43" t="s">
        <v>276</v>
      </c>
      <c r="B234" s="43" t="s">
        <v>14</v>
      </c>
      <c r="C234" s="43" t="s">
        <v>22</v>
      </c>
      <c r="D234" s="44">
        <v>45938</v>
      </c>
      <c r="E234" s="44">
        <v>45939</v>
      </c>
      <c r="F234" s="44">
        <v>45941</v>
      </c>
      <c r="G234" s="44">
        <v>45945</v>
      </c>
      <c r="H234" s="45" t="str">
        <f t="shared" si="19"/>
        <v>Delivered</v>
      </c>
      <c r="I234" s="48">
        <f t="shared" si="15"/>
        <v>1</v>
      </c>
      <c r="J234" s="48">
        <f t="shared" si="16"/>
        <v>2</v>
      </c>
      <c r="K234" s="48">
        <f t="shared" si="17"/>
        <v>4</v>
      </c>
      <c r="L234" s="39" t="s">
        <v>10</v>
      </c>
      <c r="M234" s="39" t="s">
        <v>79</v>
      </c>
      <c r="O234" s="39">
        <v>1</v>
      </c>
      <c r="P234" s="39">
        <v>2</v>
      </c>
      <c r="Q234" s="39">
        <v>4</v>
      </c>
      <c r="S234" s="51" t="str">
        <f t="shared" si="18"/>
        <v>Detractor</v>
      </c>
    </row>
    <row r="235" ht="14.25" customHeight="1" spans="1:19">
      <c r="A235" s="43" t="s">
        <v>277</v>
      </c>
      <c r="B235" s="43" t="s">
        <v>14</v>
      </c>
      <c r="C235" s="43" t="s">
        <v>21</v>
      </c>
      <c r="D235" s="44">
        <v>45936</v>
      </c>
      <c r="E235" s="44">
        <v>45941</v>
      </c>
      <c r="F235" s="44">
        <v>45943</v>
      </c>
      <c r="G235" s="44">
        <v>45947</v>
      </c>
      <c r="H235" s="45" t="str">
        <f t="shared" si="19"/>
        <v>Delivered</v>
      </c>
      <c r="I235" s="48">
        <f t="shared" si="15"/>
        <v>5</v>
      </c>
      <c r="J235" s="48">
        <f t="shared" si="16"/>
        <v>2</v>
      </c>
      <c r="K235" s="48">
        <f t="shared" si="17"/>
        <v>4</v>
      </c>
      <c r="L235" s="39" t="s">
        <v>9</v>
      </c>
      <c r="N235" s="44">
        <v>45959</v>
      </c>
      <c r="O235" s="39">
        <v>5</v>
      </c>
      <c r="P235" s="39">
        <v>2</v>
      </c>
      <c r="Q235" s="39">
        <v>4</v>
      </c>
      <c r="R235" s="39">
        <v>9</v>
      </c>
      <c r="S235" s="51" t="str">
        <f t="shared" si="18"/>
        <v>Promoter</v>
      </c>
    </row>
    <row r="236" ht="14.25" customHeight="1" spans="1:19">
      <c r="A236" s="43" t="s">
        <v>278</v>
      </c>
      <c r="B236" s="43" t="s">
        <v>12</v>
      </c>
      <c r="C236" s="43" t="s">
        <v>21</v>
      </c>
      <c r="D236" s="44">
        <v>45948</v>
      </c>
      <c r="E236" s="44">
        <v>45953</v>
      </c>
      <c r="F236" s="44">
        <v>45957</v>
      </c>
      <c r="G236" s="44">
        <v>45963</v>
      </c>
      <c r="H236" s="45" t="str">
        <f t="shared" si="19"/>
        <v>Delivered</v>
      </c>
      <c r="I236" s="48">
        <f t="shared" si="15"/>
        <v>5</v>
      </c>
      <c r="J236" s="48">
        <f t="shared" si="16"/>
        <v>4</v>
      </c>
      <c r="K236" s="48">
        <f t="shared" si="17"/>
        <v>6</v>
      </c>
      <c r="L236" s="39" t="s">
        <v>9</v>
      </c>
      <c r="N236" s="44">
        <v>45982</v>
      </c>
      <c r="O236" s="39">
        <v>5</v>
      </c>
      <c r="P236" s="39">
        <v>4</v>
      </c>
      <c r="Q236" s="39">
        <v>6</v>
      </c>
      <c r="R236" s="39">
        <v>4</v>
      </c>
      <c r="S236" s="51" t="str">
        <f t="shared" si="18"/>
        <v>Detractor</v>
      </c>
    </row>
    <row r="237" ht="14.25" customHeight="1" spans="1:19">
      <c r="A237" s="43" t="s">
        <v>279</v>
      </c>
      <c r="B237" s="43" t="s">
        <v>13</v>
      </c>
      <c r="C237" s="43" t="s">
        <v>21</v>
      </c>
      <c r="D237" s="44">
        <v>45933</v>
      </c>
      <c r="E237" s="44">
        <v>45935</v>
      </c>
      <c r="F237" s="44">
        <v>45938</v>
      </c>
      <c r="G237" s="44">
        <v>45942</v>
      </c>
      <c r="H237" s="45" t="str">
        <f t="shared" si="19"/>
        <v>Delivered</v>
      </c>
      <c r="I237" s="48">
        <f t="shared" si="15"/>
        <v>2</v>
      </c>
      <c r="J237" s="48">
        <f t="shared" si="16"/>
        <v>3</v>
      </c>
      <c r="K237" s="48">
        <f t="shared" si="17"/>
        <v>4</v>
      </c>
      <c r="L237" s="39" t="s">
        <v>9</v>
      </c>
      <c r="N237" s="44">
        <v>45972</v>
      </c>
      <c r="O237" s="39">
        <v>2</v>
      </c>
      <c r="P237" s="39">
        <v>3</v>
      </c>
      <c r="Q237" s="39">
        <v>4</v>
      </c>
      <c r="R237" s="39">
        <v>7</v>
      </c>
      <c r="S237" s="51" t="str">
        <f t="shared" si="18"/>
        <v>Passive</v>
      </c>
    </row>
    <row r="238" ht="14.25" customHeight="1" spans="1:19">
      <c r="A238" s="43" t="s">
        <v>280</v>
      </c>
      <c r="B238" s="43" t="s">
        <v>13</v>
      </c>
      <c r="C238" s="43" t="s">
        <v>21</v>
      </c>
      <c r="D238" s="44">
        <v>45936</v>
      </c>
      <c r="E238" s="44">
        <v>45939</v>
      </c>
      <c r="F238" s="44">
        <v>45941</v>
      </c>
      <c r="G238" s="44">
        <v>45947</v>
      </c>
      <c r="H238" s="45" t="str">
        <f t="shared" si="19"/>
        <v>Delivered</v>
      </c>
      <c r="I238" s="48">
        <f t="shared" si="15"/>
        <v>3</v>
      </c>
      <c r="J238" s="48">
        <f t="shared" si="16"/>
        <v>2</v>
      </c>
      <c r="K238" s="48">
        <f t="shared" si="17"/>
        <v>6</v>
      </c>
      <c r="L238" s="39" t="s">
        <v>9</v>
      </c>
      <c r="N238" s="44">
        <v>45976</v>
      </c>
      <c r="O238" s="39">
        <v>3</v>
      </c>
      <c r="P238" s="39">
        <v>2</v>
      </c>
      <c r="Q238" s="39">
        <v>6</v>
      </c>
      <c r="R238" s="39">
        <v>7</v>
      </c>
      <c r="S238" s="51" t="str">
        <f t="shared" si="18"/>
        <v>Passive</v>
      </c>
    </row>
    <row r="239" ht="14.25" customHeight="1" spans="1:19">
      <c r="A239" s="43" t="s">
        <v>281</v>
      </c>
      <c r="B239" s="43" t="s">
        <v>13</v>
      </c>
      <c r="C239" s="43" t="s">
        <v>22</v>
      </c>
      <c r="D239" s="44">
        <v>45931</v>
      </c>
      <c r="E239" s="44">
        <v>45934</v>
      </c>
      <c r="F239" s="44">
        <v>45935</v>
      </c>
      <c r="G239" s="44">
        <v>45942</v>
      </c>
      <c r="H239" s="45" t="str">
        <f t="shared" si="19"/>
        <v>Delivered</v>
      </c>
      <c r="I239" s="48">
        <f t="shared" si="15"/>
        <v>3</v>
      </c>
      <c r="J239" s="48">
        <f t="shared" si="16"/>
        <v>1</v>
      </c>
      <c r="K239" s="48">
        <f t="shared" si="17"/>
        <v>7</v>
      </c>
      <c r="L239" s="39" t="s">
        <v>9</v>
      </c>
      <c r="N239" s="44">
        <v>45967</v>
      </c>
      <c r="O239" s="39">
        <v>3</v>
      </c>
      <c r="P239" s="39">
        <v>1</v>
      </c>
      <c r="Q239" s="39">
        <v>7</v>
      </c>
      <c r="R239" s="39">
        <v>0</v>
      </c>
      <c r="S239" s="51" t="str">
        <f t="shared" si="18"/>
        <v>Detractor</v>
      </c>
    </row>
    <row r="240" ht="14.25" customHeight="1" spans="1:19">
      <c r="A240" s="43" t="s">
        <v>282</v>
      </c>
      <c r="B240" s="43" t="s">
        <v>12</v>
      </c>
      <c r="C240" s="43" t="s">
        <v>22</v>
      </c>
      <c r="D240" s="44">
        <v>45944</v>
      </c>
      <c r="E240" s="44">
        <v>45946</v>
      </c>
      <c r="F240" s="44">
        <v>45949</v>
      </c>
      <c r="G240" s="44">
        <v>45951</v>
      </c>
      <c r="H240" s="45" t="str">
        <f t="shared" si="19"/>
        <v>Delivered</v>
      </c>
      <c r="I240" s="48">
        <f t="shared" si="15"/>
        <v>2</v>
      </c>
      <c r="J240" s="48">
        <f t="shared" si="16"/>
        <v>3</v>
      </c>
      <c r="K240" s="48">
        <f t="shared" si="17"/>
        <v>2</v>
      </c>
      <c r="L240" s="39" t="s">
        <v>9</v>
      </c>
      <c r="N240" s="44">
        <v>45967</v>
      </c>
      <c r="O240" s="39">
        <v>2</v>
      </c>
      <c r="P240" s="39">
        <v>3</v>
      </c>
      <c r="Q240" s="39">
        <v>2</v>
      </c>
      <c r="R240" s="39">
        <v>1</v>
      </c>
      <c r="S240" s="51" t="str">
        <f t="shared" si="18"/>
        <v>Detractor</v>
      </c>
    </row>
    <row r="241" ht="14.25" customHeight="1" spans="1:19">
      <c r="A241" s="43" t="s">
        <v>283</v>
      </c>
      <c r="B241" s="43" t="s">
        <v>14</v>
      </c>
      <c r="C241" s="43" t="s">
        <v>21</v>
      </c>
      <c r="D241" s="44">
        <v>45945</v>
      </c>
      <c r="E241" s="44">
        <v>45947</v>
      </c>
      <c r="F241" s="44">
        <v>45951</v>
      </c>
      <c r="G241" s="44">
        <v>45954</v>
      </c>
      <c r="H241" s="45" t="str">
        <f t="shared" si="19"/>
        <v>Delivered</v>
      </c>
      <c r="I241" s="48">
        <f t="shared" si="15"/>
        <v>2</v>
      </c>
      <c r="J241" s="48">
        <f t="shared" si="16"/>
        <v>4</v>
      </c>
      <c r="K241" s="48">
        <f t="shared" si="17"/>
        <v>3</v>
      </c>
      <c r="L241" s="39" t="s">
        <v>10</v>
      </c>
      <c r="M241" s="39" t="s">
        <v>79</v>
      </c>
      <c r="O241" s="39">
        <v>2</v>
      </c>
      <c r="P241" s="39">
        <v>4</v>
      </c>
      <c r="Q241" s="39">
        <v>3</v>
      </c>
      <c r="S241" s="51" t="str">
        <f t="shared" si="18"/>
        <v>Detractor</v>
      </c>
    </row>
    <row r="242" ht="14.25" customHeight="1" spans="1:19">
      <c r="A242" s="43" t="s">
        <v>284</v>
      </c>
      <c r="B242" s="43" t="s">
        <v>13</v>
      </c>
      <c r="C242" s="43" t="s">
        <v>22</v>
      </c>
      <c r="D242" s="44">
        <v>45953</v>
      </c>
      <c r="E242" s="44">
        <v>45954</v>
      </c>
      <c r="F242" s="44">
        <v>45956</v>
      </c>
      <c r="G242" s="44">
        <v>45961</v>
      </c>
      <c r="H242" s="45" t="str">
        <f t="shared" si="19"/>
        <v>Delivered</v>
      </c>
      <c r="I242" s="48">
        <f t="shared" si="15"/>
        <v>1</v>
      </c>
      <c r="J242" s="48">
        <f t="shared" si="16"/>
        <v>2</v>
      </c>
      <c r="K242" s="48">
        <f t="shared" si="17"/>
        <v>5</v>
      </c>
      <c r="L242" s="39" t="s">
        <v>9</v>
      </c>
      <c r="N242" s="44">
        <v>45974</v>
      </c>
      <c r="O242" s="39">
        <v>1</v>
      </c>
      <c r="P242" s="39">
        <v>2</v>
      </c>
      <c r="Q242" s="39">
        <v>5</v>
      </c>
      <c r="R242" s="39">
        <v>9</v>
      </c>
      <c r="S242" s="51" t="str">
        <f t="shared" si="18"/>
        <v>Promoter</v>
      </c>
    </row>
    <row r="243" ht="14.25" customHeight="1" spans="1:19">
      <c r="A243" s="43" t="s">
        <v>285</v>
      </c>
      <c r="B243" s="43" t="s">
        <v>12</v>
      </c>
      <c r="C243" s="43" t="s">
        <v>21</v>
      </c>
      <c r="D243" s="44">
        <v>45950</v>
      </c>
      <c r="E243" s="44">
        <v>45952</v>
      </c>
      <c r="F243" s="44">
        <v>45956</v>
      </c>
      <c r="G243" s="44">
        <v>45958</v>
      </c>
      <c r="H243" s="45" t="str">
        <f t="shared" si="19"/>
        <v>Delivered</v>
      </c>
      <c r="I243" s="48">
        <f t="shared" si="15"/>
        <v>2</v>
      </c>
      <c r="J243" s="48">
        <f t="shared" si="16"/>
        <v>4</v>
      </c>
      <c r="K243" s="48">
        <f t="shared" si="17"/>
        <v>2</v>
      </c>
      <c r="L243" s="39" t="s">
        <v>9</v>
      </c>
      <c r="N243" s="44">
        <v>45968</v>
      </c>
      <c r="O243" s="39">
        <v>2</v>
      </c>
      <c r="P243" s="39">
        <v>4</v>
      </c>
      <c r="Q243" s="39">
        <v>2</v>
      </c>
      <c r="R243" s="39">
        <v>1</v>
      </c>
      <c r="S243" s="51" t="str">
        <f t="shared" si="18"/>
        <v>Detractor</v>
      </c>
    </row>
    <row r="244" ht="14.25" customHeight="1" spans="1:19">
      <c r="A244" s="43" t="s">
        <v>286</v>
      </c>
      <c r="B244" s="43" t="s">
        <v>13</v>
      </c>
      <c r="C244" s="43" t="s">
        <v>20</v>
      </c>
      <c r="D244" s="44">
        <v>45946</v>
      </c>
      <c r="H244" s="45" t="str">
        <f t="shared" si="19"/>
        <v>Cancelled</v>
      </c>
      <c r="I244" s="48">
        <f t="shared" si="15"/>
        <v>0</v>
      </c>
      <c r="J244" s="48">
        <f t="shared" si="16"/>
        <v>0</v>
      </c>
      <c r="K244" s="48">
        <f t="shared" si="17"/>
        <v>0</v>
      </c>
      <c r="L244" s="39" t="s">
        <v>10</v>
      </c>
      <c r="M244" s="39" t="s">
        <v>42</v>
      </c>
      <c r="S244" s="51" t="str">
        <f t="shared" si="18"/>
        <v>Detractor</v>
      </c>
    </row>
    <row r="245" ht="14.25" customHeight="1" spans="1:19">
      <c r="A245" s="43" t="s">
        <v>287</v>
      </c>
      <c r="B245" s="43" t="s">
        <v>11</v>
      </c>
      <c r="C245" s="43" t="s">
        <v>20</v>
      </c>
      <c r="D245" s="44">
        <v>45940</v>
      </c>
      <c r="H245" s="45" t="str">
        <f t="shared" si="19"/>
        <v>Cancelled</v>
      </c>
      <c r="I245" s="48">
        <f t="shared" si="15"/>
        <v>0</v>
      </c>
      <c r="J245" s="48">
        <f t="shared" si="16"/>
        <v>0</v>
      </c>
      <c r="K245" s="48">
        <f t="shared" si="17"/>
        <v>0</v>
      </c>
      <c r="L245" s="39" t="s">
        <v>10</v>
      </c>
      <c r="M245" s="39" t="s">
        <v>79</v>
      </c>
      <c r="S245" s="51" t="str">
        <f t="shared" si="18"/>
        <v>Detractor</v>
      </c>
    </row>
    <row r="246" ht="14.25" customHeight="1" spans="1:19">
      <c r="A246" s="43" t="s">
        <v>288</v>
      </c>
      <c r="B246" s="43" t="s">
        <v>13</v>
      </c>
      <c r="C246" s="43" t="s">
        <v>21</v>
      </c>
      <c r="D246" s="44">
        <v>45932</v>
      </c>
      <c r="E246" s="44">
        <v>45935</v>
      </c>
      <c r="F246" s="44">
        <v>45938</v>
      </c>
      <c r="G246" s="44">
        <v>45942</v>
      </c>
      <c r="H246" s="45" t="str">
        <f t="shared" si="19"/>
        <v>Delivered</v>
      </c>
      <c r="I246" s="48">
        <f t="shared" si="15"/>
        <v>3</v>
      </c>
      <c r="J246" s="48">
        <f t="shared" si="16"/>
        <v>3</v>
      </c>
      <c r="K246" s="48">
        <f t="shared" si="17"/>
        <v>4</v>
      </c>
      <c r="L246" s="39" t="s">
        <v>9</v>
      </c>
      <c r="N246" s="44">
        <v>45958</v>
      </c>
      <c r="O246" s="39">
        <v>3</v>
      </c>
      <c r="P246" s="39">
        <v>3</v>
      </c>
      <c r="Q246" s="39">
        <v>4</v>
      </c>
      <c r="R246" s="39">
        <v>6</v>
      </c>
      <c r="S246" s="51" t="str">
        <f t="shared" si="18"/>
        <v>Detractor</v>
      </c>
    </row>
    <row r="247" ht="14.25" customHeight="1" spans="1:19">
      <c r="A247" s="43" t="s">
        <v>289</v>
      </c>
      <c r="B247" s="43" t="s">
        <v>13</v>
      </c>
      <c r="C247" s="43" t="s">
        <v>22</v>
      </c>
      <c r="D247" s="44">
        <v>45938</v>
      </c>
      <c r="E247" s="44">
        <v>45940</v>
      </c>
      <c r="F247" s="44">
        <v>45943</v>
      </c>
      <c r="G247" s="44">
        <v>45950</v>
      </c>
      <c r="H247" s="45" t="str">
        <f t="shared" si="19"/>
        <v>Delivered</v>
      </c>
      <c r="I247" s="48">
        <f t="shared" si="15"/>
        <v>2</v>
      </c>
      <c r="J247" s="48">
        <f t="shared" si="16"/>
        <v>3</v>
      </c>
      <c r="K247" s="48">
        <f t="shared" si="17"/>
        <v>7</v>
      </c>
      <c r="L247" s="39" t="s">
        <v>10</v>
      </c>
      <c r="M247" s="39" t="s">
        <v>49</v>
      </c>
      <c r="O247" s="39">
        <v>2</v>
      </c>
      <c r="P247" s="39">
        <v>3</v>
      </c>
      <c r="Q247" s="39">
        <v>7</v>
      </c>
      <c r="S247" s="51" t="str">
        <f t="shared" si="18"/>
        <v>Detractor</v>
      </c>
    </row>
    <row r="248" ht="14.25" customHeight="1" spans="1:19">
      <c r="A248" s="43" t="s">
        <v>290</v>
      </c>
      <c r="B248" s="43" t="s">
        <v>14</v>
      </c>
      <c r="C248" s="43" t="s">
        <v>21</v>
      </c>
      <c r="D248" s="44">
        <v>45940</v>
      </c>
      <c r="E248" s="44">
        <v>45942</v>
      </c>
      <c r="F248" s="44">
        <v>45945</v>
      </c>
      <c r="G248" s="44">
        <v>45948</v>
      </c>
      <c r="H248" s="45" t="str">
        <f t="shared" si="19"/>
        <v>Delivered</v>
      </c>
      <c r="I248" s="48">
        <f t="shared" si="15"/>
        <v>2</v>
      </c>
      <c r="J248" s="48">
        <f t="shared" si="16"/>
        <v>3</v>
      </c>
      <c r="K248" s="48">
        <f t="shared" si="17"/>
        <v>3</v>
      </c>
      <c r="L248" s="39" t="s">
        <v>9</v>
      </c>
      <c r="N248" s="44">
        <v>45963</v>
      </c>
      <c r="O248" s="39">
        <v>2</v>
      </c>
      <c r="P248" s="39">
        <v>3</v>
      </c>
      <c r="Q248" s="39">
        <v>3</v>
      </c>
      <c r="R248" s="39">
        <v>6</v>
      </c>
      <c r="S248" s="51" t="str">
        <f t="shared" si="18"/>
        <v>Detractor</v>
      </c>
    </row>
    <row r="249" ht="14.25" customHeight="1" spans="1:19">
      <c r="A249" s="43" t="s">
        <v>291</v>
      </c>
      <c r="B249" s="43" t="s">
        <v>12</v>
      </c>
      <c r="C249" s="43" t="s">
        <v>22</v>
      </c>
      <c r="D249" s="44">
        <v>45953</v>
      </c>
      <c r="E249" s="44">
        <v>45958</v>
      </c>
      <c r="F249" s="44">
        <v>45963</v>
      </c>
      <c r="G249" s="44">
        <v>45970</v>
      </c>
      <c r="H249" s="45" t="str">
        <f t="shared" si="19"/>
        <v>Delivered</v>
      </c>
      <c r="I249" s="48">
        <f t="shared" si="15"/>
        <v>5</v>
      </c>
      <c r="J249" s="48">
        <f t="shared" si="16"/>
        <v>5</v>
      </c>
      <c r="K249" s="48">
        <f t="shared" si="17"/>
        <v>7</v>
      </c>
      <c r="L249" s="39" t="s">
        <v>9</v>
      </c>
      <c r="N249" s="44">
        <v>46000</v>
      </c>
      <c r="O249" s="39">
        <v>5</v>
      </c>
      <c r="P249" s="39">
        <v>5</v>
      </c>
      <c r="Q249" s="39">
        <v>7</v>
      </c>
      <c r="R249" s="39">
        <v>4</v>
      </c>
      <c r="S249" s="51" t="str">
        <f t="shared" si="18"/>
        <v>Detractor</v>
      </c>
    </row>
    <row r="250" ht="14.25" customHeight="1" spans="1:19">
      <c r="A250" s="43" t="s">
        <v>292</v>
      </c>
      <c r="B250" s="43" t="s">
        <v>14</v>
      </c>
      <c r="C250" s="43" t="s">
        <v>22</v>
      </c>
      <c r="D250" s="44">
        <v>45940</v>
      </c>
      <c r="E250" s="44">
        <v>45942</v>
      </c>
      <c r="F250" s="44">
        <v>45947</v>
      </c>
      <c r="G250" s="44">
        <v>45950</v>
      </c>
      <c r="H250" s="45" t="str">
        <f t="shared" si="19"/>
        <v>Delivered</v>
      </c>
      <c r="I250" s="48">
        <f t="shared" si="15"/>
        <v>2</v>
      </c>
      <c r="J250" s="48">
        <f t="shared" si="16"/>
        <v>5</v>
      </c>
      <c r="K250" s="48">
        <f t="shared" si="17"/>
        <v>3</v>
      </c>
      <c r="L250" s="39" t="s">
        <v>9</v>
      </c>
      <c r="N250" s="44">
        <v>45969</v>
      </c>
      <c r="O250" s="39">
        <v>2</v>
      </c>
      <c r="P250" s="39">
        <v>5</v>
      </c>
      <c r="Q250" s="39">
        <v>3</v>
      </c>
      <c r="R250" s="39">
        <v>7</v>
      </c>
      <c r="S250" s="51" t="str">
        <f t="shared" si="18"/>
        <v>Passive</v>
      </c>
    </row>
    <row r="251" ht="14.25" customHeight="1" spans="1:19">
      <c r="A251" s="43" t="s">
        <v>293</v>
      </c>
      <c r="B251" s="43" t="s">
        <v>14</v>
      </c>
      <c r="C251" s="43" t="s">
        <v>21</v>
      </c>
      <c r="D251" s="44">
        <v>45953</v>
      </c>
      <c r="E251" s="44">
        <v>45954</v>
      </c>
      <c r="F251" s="44">
        <v>45955</v>
      </c>
      <c r="G251" s="44">
        <v>45958</v>
      </c>
      <c r="H251" s="45" t="str">
        <f t="shared" si="19"/>
        <v>Delivered</v>
      </c>
      <c r="I251" s="48">
        <f t="shared" si="15"/>
        <v>1</v>
      </c>
      <c r="J251" s="48">
        <f t="shared" si="16"/>
        <v>1</v>
      </c>
      <c r="K251" s="48">
        <f t="shared" si="17"/>
        <v>3</v>
      </c>
      <c r="L251" s="39" t="s">
        <v>9</v>
      </c>
      <c r="N251" s="44">
        <v>45970</v>
      </c>
      <c r="O251" s="39">
        <v>1</v>
      </c>
      <c r="P251" s="39">
        <v>1</v>
      </c>
      <c r="Q251" s="39">
        <v>3</v>
      </c>
      <c r="R251" s="39">
        <v>3</v>
      </c>
      <c r="S251" s="51" t="str">
        <f t="shared" si="18"/>
        <v>Detractor</v>
      </c>
    </row>
    <row r="252" ht="14.25" customHeight="1" spans="1:19">
      <c r="A252" s="43" t="s">
        <v>294</v>
      </c>
      <c r="B252" s="43" t="s">
        <v>14</v>
      </c>
      <c r="C252" s="43" t="s">
        <v>22</v>
      </c>
      <c r="D252" s="44">
        <v>45958</v>
      </c>
      <c r="E252" s="44">
        <v>45960</v>
      </c>
      <c r="F252" s="44">
        <v>45963</v>
      </c>
      <c r="G252" s="44">
        <v>45966</v>
      </c>
      <c r="H252" s="45" t="str">
        <f t="shared" si="19"/>
        <v>Delivered</v>
      </c>
      <c r="I252" s="48">
        <f t="shared" si="15"/>
        <v>2</v>
      </c>
      <c r="J252" s="48">
        <f t="shared" si="16"/>
        <v>3</v>
      </c>
      <c r="K252" s="48">
        <f t="shared" si="17"/>
        <v>3</v>
      </c>
      <c r="L252" s="39" t="s">
        <v>9</v>
      </c>
      <c r="N252" s="44">
        <v>45991</v>
      </c>
      <c r="O252" s="39">
        <v>2</v>
      </c>
      <c r="P252" s="39">
        <v>3</v>
      </c>
      <c r="Q252" s="39">
        <v>3</v>
      </c>
      <c r="R252" s="39">
        <v>2</v>
      </c>
      <c r="S252" s="51" t="str">
        <f t="shared" si="18"/>
        <v>Detractor</v>
      </c>
    </row>
    <row r="253" ht="14.25" customHeight="1" spans="1:19">
      <c r="A253" s="43" t="s">
        <v>295</v>
      </c>
      <c r="B253" s="43" t="s">
        <v>14</v>
      </c>
      <c r="C253" s="43" t="s">
        <v>21</v>
      </c>
      <c r="D253" s="44">
        <v>45945</v>
      </c>
      <c r="E253" s="44">
        <v>45949</v>
      </c>
      <c r="F253" s="44">
        <v>45952</v>
      </c>
      <c r="G253" s="44">
        <v>45959</v>
      </c>
      <c r="H253" s="45" t="str">
        <f t="shared" si="19"/>
        <v>Delivered</v>
      </c>
      <c r="I253" s="48">
        <f t="shared" si="15"/>
        <v>4</v>
      </c>
      <c r="J253" s="48">
        <f t="shared" si="16"/>
        <v>3</v>
      </c>
      <c r="K253" s="48">
        <f t="shared" si="17"/>
        <v>7</v>
      </c>
      <c r="L253" s="39" t="s">
        <v>9</v>
      </c>
      <c r="N253" s="44">
        <v>45972</v>
      </c>
      <c r="O253" s="39">
        <v>4</v>
      </c>
      <c r="P253" s="39">
        <v>3</v>
      </c>
      <c r="Q253" s="39">
        <v>7</v>
      </c>
      <c r="R253" s="39">
        <v>6</v>
      </c>
      <c r="S253" s="51" t="str">
        <f t="shared" si="18"/>
        <v>Detractor</v>
      </c>
    </row>
    <row r="254" ht="14.25" customHeight="1" spans="1:19">
      <c r="A254" s="43" t="s">
        <v>296</v>
      </c>
      <c r="B254" s="43" t="s">
        <v>14</v>
      </c>
      <c r="C254" s="43" t="s">
        <v>21</v>
      </c>
      <c r="D254" s="44">
        <v>45933</v>
      </c>
      <c r="E254" s="44">
        <v>45937</v>
      </c>
      <c r="F254" s="44">
        <v>45939</v>
      </c>
      <c r="G254" s="44">
        <v>45943</v>
      </c>
      <c r="H254" s="45" t="str">
        <f t="shared" si="19"/>
        <v>Delivered</v>
      </c>
      <c r="I254" s="48">
        <f t="shared" si="15"/>
        <v>4</v>
      </c>
      <c r="J254" s="48">
        <f t="shared" si="16"/>
        <v>2</v>
      </c>
      <c r="K254" s="48">
        <f t="shared" si="17"/>
        <v>4</v>
      </c>
      <c r="L254" s="39" t="s">
        <v>9</v>
      </c>
      <c r="N254" s="44">
        <v>45962</v>
      </c>
      <c r="O254" s="39">
        <v>4</v>
      </c>
      <c r="P254" s="39">
        <v>2</v>
      </c>
      <c r="Q254" s="39">
        <v>4</v>
      </c>
      <c r="R254" s="39">
        <v>10</v>
      </c>
      <c r="S254" s="51" t="str">
        <f t="shared" si="18"/>
        <v>Promoter</v>
      </c>
    </row>
    <row r="255" ht="14.25" customHeight="1" spans="1:19">
      <c r="A255" s="43" t="s">
        <v>297</v>
      </c>
      <c r="B255" s="43" t="s">
        <v>13</v>
      </c>
      <c r="C255" s="43" t="s">
        <v>22</v>
      </c>
      <c r="D255" s="44">
        <v>45952</v>
      </c>
      <c r="E255" s="44">
        <v>45957</v>
      </c>
      <c r="F255" s="44">
        <v>45958</v>
      </c>
      <c r="G255" s="44">
        <v>45961</v>
      </c>
      <c r="H255" s="45" t="str">
        <f t="shared" si="19"/>
        <v>Delivered</v>
      </c>
      <c r="I255" s="48">
        <f t="shared" si="15"/>
        <v>5</v>
      </c>
      <c r="J255" s="48">
        <f t="shared" si="16"/>
        <v>1</v>
      </c>
      <c r="K255" s="48">
        <f t="shared" si="17"/>
        <v>3</v>
      </c>
      <c r="L255" s="39" t="s">
        <v>9</v>
      </c>
      <c r="N255" s="44">
        <v>45983</v>
      </c>
      <c r="O255" s="39">
        <v>5</v>
      </c>
      <c r="P255" s="39">
        <v>1</v>
      </c>
      <c r="Q255" s="39">
        <v>3</v>
      </c>
      <c r="R255" s="39">
        <v>4</v>
      </c>
      <c r="S255" s="51" t="str">
        <f t="shared" si="18"/>
        <v>Detractor</v>
      </c>
    </row>
    <row r="256" ht="14.25" customHeight="1" spans="1:19">
      <c r="A256" s="43" t="s">
        <v>298</v>
      </c>
      <c r="B256" s="43" t="s">
        <v>14</v>
      </c>
      <c r="C256" s="43" t="s">
        <v>22</v>
      </c>
      <c r="D256" s="44">
        <v>45938</v>
      </c>
      <c r="E256" s="44">
        <v>45943</v>
      </c>
      <c r="F256" s="44">
        <v>45944</v>
      </c>
      <c r="G256" s="44">
        <v>45951</v>
      </c>
      <c r="H256" s="45" t="str">
        <f t="shared" si="19"/>
        <v>Delivered</v>
      </c>
      <c r="I256" s="48">
        <f t="shared" si="15"/>
        <v>5</v>
      </c>
      <c r="J256" s="48">
        <f t="shared" si="16"/>
        <v>1</v>
      </c>
      <c r="K256" s="48">
        <f t="shared" si="17"/>
        <v>7</v>
      </c>
      <c r="L256" s="39" t="s">
        <v>9</v>
      </c>
      <c r="N256" s="44">
        <v>45976</v>
      </c>
      <c r="O256" s="39">
        <v>5</v>
      </c>
      <c r="P256" s="39">
        <v>1</v>
      </c>
      <c r="Q256" s="39">
        <v>7</v>
      </c>
      <c r="R256" s="39">
        <v>5</v>
      </c>
      <c r="S256" s="51" t="str">
        <f t="shared" si="18"/>
        <v>Detractor</v>
      </c>
    </row>
    <row r="257" ht="14.25" customHeight="1" spans="1:19">
      <c r="A257" s="43" t="s">
        <v>299</v>
      </c>
      <c r="B257" s="43" t="s">
        <v>14</v>
      </c>
      <c r="C257" s="43" t="s">
        <v>22</v>
      </c>
      <c r="D257" s="44">
        <v>45960</v>
      </c>
      <c r="E257" s="44">
        <v>45964</v>
      </c>
      <c r="F257" s="44">
        <v>45968</v>
      </c>
      <c r="G257" s="44">
        <v>45973</v>
      </c>
      <c r="H257" s="45" t="str">
        <f t="shared" si="19"/>
        <v>Delivered</v>
      </c>
      <c r="I257" s="48">
        <f t="shared" si="15"/>
        <v>4</v>
      </c>
      <c r="J257" s="48">
        <f t="shared" si="16"/>
        <v>4</v>
      </c>
      <c r="K257" s="48">
        <f t="shared" si="17"/>
        <v>5</v>
      </c>
      <c r="L257" s="39" t="s">
        <v>10</v>
      </c>
      <c r="M257" s="39" t="s">
        <v>44</v>
      </c>
      <c r="O257" s="39">
        <v>4</v>
      </c>
      <c r="P257" s="39">
        <v>4</v>
      </c>
      <c r="Q257" s="39">
        <v>5</v>
      </c>
      <c r="S257" s="51" t="str">
        <f t="shared" si="18"/>
        <v>Detractor</v>
      </c>
    </row>
    <row r="258" ht="14.25" customHeight="1" spans="1:19">
      <c r="A258" s="43" t="s">
        <v>300</v>
      </c>
      <c r="B258" s="43" t="s">
        <v>12</v>
      </c>
      <c r="C258" s="43" t="s">
        <v>22</v>
      </c>
      <c r="D258" s="44">
        <v>45939</v>
      </c>
      <c r="E258" s="44">
        <v>45944</v>
      </c>
      <c r="F258" s="44">
        <v>45947</v>
      </c>
      <c r="G258" s="44">
        <v>45952</v>
      </c>
      <c r="H258" s="45" t="str">
        <f t="shared" si="19"/>
        <v>Delivered</v>
      </c>
      <c r="I258" s="48">
        <f t="shared" si="15"/>
        <v>5</v>
      </c>
      <c r="J258" s="48">
        <f t="shared" si="16"/>
        <v>3</v>
      </c>
      <c r="K258" s="48">
        <f t="shared" si="17"/>
        <v>5</v>
      </c>
      <c r="L258" s="39" t="s">
        <v>9</v>
      </c>
      <c r="N258" s="44">
        <v>45977</v>
      </c>
      <c r="O258" s="39">
        <v>5</v>
      </c>
      <c r="P258" s="39">
        <v>3</v>
      </c>
      <c r="Q258" s="39">
        <v>5</v>
      </c>
      <c r="R258" s="39">
        <v>3</v>
      </c>
      <c r="S258" s="51" t="str">
        <f t="shared" si="18"/>
        <v>Detractor</v>
      </c>
    </row>
    <row r="259" ht="14.25" customHeight="1" spans="1:19">
      <c r="A259" s="43" t="s">
        <v>301</v>
      </c>
      <c r="B259" s="43" t="s">
        <v>11</v>
      </c>
      <c r="C259" s="43" t="s">
        <v>20</v>
      </c>
      <c r="D259" s="44">
        <v>45956</v>
      </c>
      <c r="H259" s="45" t="str">
        <f t="shared" si="19"/>
        <v>Cancelled</v>
      </c>
      <c r="I259" s="48">
        <f t="shared" ref="I259:I322" si="20">IF(E259&gt;D259,E259-D259,0)</f>
        <v>0</v>
      </c>
      <c r="J259" s="48">
        <f t="shared" ref="J259:J322" si="21">IF(F259&gt;E259,F259-E259,0)</f>
        <v>0</v>
      </c>
      <c r="K259" s="48">
        <f t="shared" ref="K259:K322" si="22">IF(G259&gt;F259,G259-F259,0)</f>
        <v>0</v>
      </c>
      <c r="L259" s="39" t="s">
        <v>10</v>
      </c>
      <c r="M259" s="39" t="s">
        <v>79</v>
      </c>
      <c r="S259" s="51" t="str">
        <f t="shared" ref="S259:S322" si="23">IF(R259&gt;=9,"Promoter",IF(R259&gt;=7,"Passive","Detractor"))</f>
        <v>Detractor</v>
      </c>
    </row>
    <row r="260" ht="14.25" customHeight="1" spans="1:19">
      <c r="A260" s="43" t="s">
        <v>302</v>
      </c>
      <c r="B260" s="43" t="s">
        <v>13</v>
      </c>
      <c r="C260" s="43" t="s">
        <v>21</v>
      </c>
      <c r="D260" s="44">
        <v>45956</v>
      </c>
      <c r="E260" s="44">
        <v>45961</v>
      </c>
      <c r="F260" s="44">
        <v>45963</v>
      </c>
      <c r="G260" s="44">
        <v>45966</v>
      </c>
      <c r="H260" s="45" t="str">
        <f t="shared" si="19"/>
        <v>Delivered</v>
      </c>
      <c r="I260" s="48">
        <f t="shared" si="20"/>
        <v>5</v>
      </c>
      <c r="J260" s="48">
        <f t="shared" si="21"/>
        <v>2</v>
      </c>
      <c r="K260" s="48">
        <f t="shared" si="22"/>
        <v>3</v>
      </c>
      <c r="L260" s="39" t="s">
        <v>10</v>
      </c>
      <c r="M260" s="39" t="s">
        <v>79</v>
      </c>
      <c r="O260" s="39">
        <v>5</v>
      </c>
      <c r="P260" s="39">
        <v>2</v>
      </c>
      <c r="Q260" s="39">
        <v>3</v>
      </c>
      <c r="S260" s="51" t="str">
        <f t="shared" si="23"/>
        <v>Detractor</v>
      </c>
    </row>
    <row r="261" ht="14.25" customHeight="1" spans="1:19">
      <c r="A261" s="43" t="s">
        <v>303</v>
      </c>
      <c r="B261" s="43" t="s">
        <v>13</v>
      </c>
      <c r="C261" s="43" t="s">
        <v>22</v>
      </c>
      <c r="D261" s="44">
        <v>45951</v>
      </c>
      <c r="E261" s="44">
        <v>45954</v>
      </c>
      <c r="F261" s="44">
        <v>45958</v>
      </c>
      <c r="G261" s="44">
        <v>45964</v>
      </c>
      <c r="H261" s="45" t="str">
        <f t="shared" ref="H261:H324" si="24">IF(G261&lt;&gt;"","Delivered",IF(F261&lt;&gt;"","Booked",IF(E261&lt;&gt;"","Pre-Booked",IF(D261&lt;&gt;"","Cancelled",""))))</f>
        <v>Delivered</v>
      </c>
      <c r="I261" s="48">
        <f t="shared" si="20"/>
        <v>3</v>
      </c>
      <c r="J261" s="48">
        <f t="shared" si="21"/>
        <v>4</v>
      </c>
      <c r="K261" s="48">
        <f t="shared" si="22"/>
        <v>6</v>
      </c>
      <c r="L261" s="39" t="s">
        <v>9</v>
      </c>
      <c r="N261" s="44">
        <v>45982</v>
      </c>
      <c r="O261" s="39">
        <v>3</v>
      </c>
      <c r="P261" s="39">
        <v>4</v>
      </c>
      <c r="Q261" s="39">
        <v>6</v>
      </c>
      <c r="R261" s="39">
        <v>4</v>
      </c>
      <c r="S261" s="51" t="str">
        <f t="shared" si="23"/>
        <v>Detractor</v>
      </c>
    </row>
    <row r="262" ht="14.25" customHeight="1" spans="1:19">
      <c r="A262" s="43" t="s">
        <v>304</v>
      </c>
      <c r="B262" s="43" t="s">
        <v>13</v>
      </c>
      <c r="C262" s="43" t="s">
        <v>22</v>
      </c>
      <c r="D262" s="44">
        <v>45949</v>
      </c>
      <c r="E262" s="44">
        <v>45952</v>
      </c>
      <c r="F262" s="44">
        <v>45957</v>
      </c>
      <c r="G262" s="44">
        <v>45964</v>
      </c>
      <c r="H262" s="45" t="str">
        <f t="shared" si="24"/>
        <v>Delivered</v>
      </c>
      <c r="I262" s="48">
        <f t="shared" si="20"/>
        <v>3</v>
      </c>
      <c r="J262" s="48">
        <f t="shared" si="21"/>
        <v>5</v>
      </c>
      <c r="K262" s="48">
        <f t="shared" si="22"/>
        <v>7</v>
      </c>
      <c r="L262" s="39" t="s">
        <v>9</v>
      </c>
      <c r="N262" s="44">
        <v>45976</v>
      </c>
      <c r="O262" s="39">
        <v>3</v>
      </c>
      <c r="P262" s="39">
        <v>5</v>
      </c>
      <c r="Q262" s="39">
        <v>7</v>
      </c>
      <c r="R262" s="39">
        <v>2</v>
      </c>
      <c r="S262" s="51" t="str">
        <f t="shared" si="23"/>
        <v>Detractor</v>
      </c>
    </row>
    <row r="263" ht="14.25" customHeight="1" spans="1:19">
      <c r="A263" s="43" t="s">
        <v>305</v>
      </c>
      <c r="B263" s="43" t="s">
        <v>14</v>
      </c>
      <c r="C263" s="43" t="s">
        <v>22</v>
      </c>
      <c r="D263" s="44">
        <v>45952</v>
      </c>
      <c r="E263" s="44">
        <v>45954</v>
      </c>
      <c r="F263" s="44">
        <v>45957</v>
      </c>
      <c r="G263" s="44">
        <v>45961</v>
      </c>
      <c r="H263" s="45" t="str">
        <f t="shared" si="24"/>
        <v>Delivered</v>
      </c>
      <c r="I263" s="48">
        <f t="shared" si="20"/>
        <v>2</v>
      </c>
      <c r="J263" s="48">
        <f t="shared" si="21"/>
        <v>3</v>
      </c>
      <c r="K263" s="48">
        <f t="shared" si="22"/>
        <v>4</v>
      </c>
      <c r="L263" s="39" t="s">
        <v>9</v>
      </c>
      <c r="N263" s="44">
        <v>45991</v>
      </c>
      <c r="O263" s="39">
        <v>2</v>
      </c>
      <c r="P263" s="39">
        <v>3</v>
      </c>
      <c r="Q263" s="39">
        <v>4</v>
      </c>
      <c r="R263" s="39">
        <v>9</v>
      </c>
      <c r="S263" s="51" t="str">
        <f t="shared" si="23"/>
        <v>Promoter</v>
      </c>
    </row>
    <row r="264" ht="14.25" customHeight="1" spans="1:19">
      <c r="A264" s="43" t="s">
        <v>306</v>
      </c>
      <c r="B264" s="43" t="s">
        <v>14</v>
      </c>
      <c r="C264" s="43" t="s">
        <v>20</v>
      </c>
      <c r="D264" s="44">
        <v>45956</v>
      </c>
      <c r="H264" s="45" t="str">
        <f t="shared" si="24"/>
        <v>Cancelled</v>
      </c>
      <c r="I264" s="48">
        <f t="shared" si="20"/>
        <v>0</v>
      </c>
      <c r="J264" s="48">
        <f t="shared" si="21"/>
        <v>0</v>
      </c>
      <c r="K264" s="48">
        <f t="shared" si="22"/>
        <v>0</v>
      </c>
      <c r="L264" s="39" t="s">
        <v>10</v>
      </c>
      <c r="M264" s="39" t="s">
        <v>42</v>
      </c>
      <c r="S264" s="51" t="str">
        <f t="shared" si="23"/>
        <v>Detractor</v>
      </c>
    </row>
    <row r="265" ht="14.25" customHeight="1" spans="1:19">
      <c r="A265" s="43" t="s">
        <v>307</v>
      </c>
      <c r="B265" s="43" t="s">
        <v>14</v>
      </c>
      <c r="C265" s="43" t="s">
        <v>22</v>
      </c>
      <c r="D265" s="44">
        <v>45960</v>
      </c>
      <c r="E265" s="44">
        <v>45964</v>
      </c>
      <c r="F265" s="44">
        <v>45965</v>
      </c>
      <c r="G265" s="44">
        <v>45972</v>
      </c>
      <c r="H265" s="45" t="str">
        <f t="shared" si="24"/>
        <v>Delivered</v>
      </c>
      <c r="I265" s="48">
        <f t="shared" si="20"/>
        <v>4</v>
      </c>
      <c r="J265" s="48">
        <f t="shared" si="21"/>
        <v>1</v>
      </c>
      <c r="K265" s="48">
        <f t="shared" si="22"/>
        <v>7</v>
      </c>
      <c r="L265" s="39" t="s">
        <v>9</v>
      </c>
      <c r="N265" s="44">
        <v>45999</v>
      </c>
      <c r="O265" s="39">
        <v>4</v>
      </c>
      <c r="P265" s="39">
        <v>1</v>
      </c>
      <c r="Q265" s="39">
        <v>7</v>
      </c>
      <c r="R265" s="39">
        <v>5</v>
      </c>
      <c r="S265" s="51" t="str">
        <f t="shared" si="23"/>
        <v>Detractor</v>
      </c>
    </row>
    <row r="266" ht="14.25" customHeight="1" spans="1:19">
      <c r="A266" s="43" t="s">
        <v>308</v>
      </c>
      <c r="B266" s="43" t="s">
        <v>12</v>
      </c>
      <c r="C266" s="43" t="s">
        <v>22</v>
      </c>
      <c r="D266" s="44">
        <v>45937</v>
      </c>
      <c r="E266" s="44">
        <v>45938</v>
      </c>
      <c r="F266" s="44">
        <v>45941</v>
      </c>
      <c r="G266" s="44">
        <v>45946</v>
      </c>
      <c r="H266" s="45" t="str">
        <f t="shared" si="24"/>
        <v>Delivered</v>
      </c>
      <c r="I266" s="48">
        <f t="shared" si="20"/>
        <v>1</v>
      </c>
      <c r="J266" s="48">
        <f t="shared" si="21"/>
        <v>3</v>
      </c>
      <c r="K266" s="48">
        <f t="shared" si="22"/>
        <v>5</v>
      </c>
      <c r="L266" s="39" t="s">
        <v>9</v>
      </c>
      <c r="N266" s="44">
        <v>45968</v>
      </c>
      <c r="O266" s="39">
        <v>1</v>
      </c>
      <c r="P266" s="39">
        <v>3</v>
      </c>
      <c r="Q266" s="39">
        <v>5</v>
      </c>
      <c r="R266" s="39">
        <v>7</v>
      </c>
      <c r="S266" s="51" t="str">
        <f t="shared" si="23"/>
        <v>Passive</v>
      </c>
    </row>
    <row r="267" ht="14.25" customHeight="1" spans="1:19">
      <c r="A267" s="43" t="s">
        <v>309</v>
      </c>
      <c r="B267" s="43" t="s">
        <v>11</v>
      </c>
      <c r="C267" s="43" t="s">
        <v>22</v>
      </c>
      <c r="D267" s="44">
        <v>45944</v>
      </c>
      <c r="E267" s="44">
        <v>45948</v>
      </c>
      <c r="F267" s="44">
        <v>45951</v>
      </c>
      <c r="G267" s="44">
        <v>45956</v>
      </c>
      <c r="H267" s="45" t="str">
        <f t="shared" si="24"/>
        <v>Delivered</v>
      </c>
      <c r="I267" s="48">
        <f t="shared" si="20"/>
        <v>4</v>
      </c>
      <c r="J267" s="48">
        <f t="shared" si="21"/>
        <v>3</v>
      </c>
      <c r="K267" s="48">
        <f t="shared" si="22"/>
        <v>5</v>
      </c>
      <c r="L267" s="39" t="s">
        <v>9</v>
      </c>
      <c r="N267" s="44">
        <v>45971</v>
      </c>
      <c r="O267" s="39">
        <v>4</v>
      </c>
      <c r="P267" s="39">
        <v>3</v>
      </c>
      <c r="Q267" s="39">
        <v>5</v>
      </c>
      <c r="R267" s="39">
        <v>5</v>
      </c>
      <c r="S267" s="51" t="str">
        <f t="shared" si="23"/>
        <v>Detractor</v>
      </c>
    </row>
    <row r="268" ht="14.25" customHeight="1" spans="1:19">
      <c r="A268" s="43" t="s">
        <v>310</v>
      </c>
      <c r="B268" s="43" t="s">
        <v>14</v>
      </c>
      <c r="C268" s="43" t="s">
        <v>20</v>
      </c>
      <c r="D268" s="44">
        <v>45934</v>
      </c>
      <c r="H268" s="45" t="str">
        <f t="shared" si="24"/>
        <v>Cancelled</v>
      </c>
      <c r="I268" s="48">
        <f t="shared" si="20"/>
        <v>0</v>
      </c>
      <c r="J268" s="48">
        <f t="shared" si="21"/>
        <v>0</v>
      </c>
      <c r="K268" s="48">
        <f t="shared" si="22"/>
        <v>0</v>
      </c>
      <c r="L268" s="39" t="s">
        <v>10</v>
      </c>
      <c r="M268" s="39" t="s">
        <v>49</v>
      </c>
      <c r="S268" s="51" t="str">
        <f t="shared" si="23"/>
        <v>Detractor</v>
      </c>
    </row>
    <row r="269" ht="14.25" customHeight="1" spans="1:19">
      <c r="A269" s="43" t="s">
        <v>311</v>
      </c>
      <c r="B269" s="43" t="s">
        <v>11</v>
      </c>
      <c r="C269" s="43" t="s">
        <v>20</v>
      </c>
      <c r="D269" s="44">
        <v>45948</v>
      </c>
      <c r="H269" s="45" t="str">
        <f t="shared" si="24"/>
        <v>Cancelled</v>
      </c>
      <c r="I269" s="48">
        <f t="shared" si="20"/>
        <v>0</v>
      </c>
      <c r="J269" s="48">
        <f t="shared" si="21"/>
        <v>0</v>
      </c>
      <c r="K269" s="48">
        <f t="shared" si="22"/>
        <v>0</v>
      </c>
      <c r="L269" s="39" t="s">
        <v>10</v>
      </c>
      <c r="M269" s="39" t="s">
        <v>44</v>
      </c>
      <c r="S269" s="51" t="str">
        <f t="shared" si="23"/>
        <v>Detractor</v>
      </c>
    </row>
    <row r="270" ht="14.25" customHeight="1" spans="1:19">
      <c r="A270" s="43" t="s">
        <v>312</v>
      </c>
      <c r="B270" s="43" t="s">
        <v>12</v>
      </c>
      <c r="C270" s="43" t="s">
        <v>22</v>
      </c>
      <c r="D270" s="44">
        <v>45938</v>
      </c>
      <c r="E270" s="44">
        <v>45942</v>
      </c>
      <c r="F270" s="44">
        <v>45947</v>
      </c>
      <c r="G270" s="44">
        <v>45952</v>
      </c>
      <c r="H270" s="45" t="str">
        <f t="shared" si="24"/>
        <v>Delivered</v>
      </c>
      <c r="I270" s="48">
        <f t="shared" si="20"/>
        <v>4</v>
      </c>
      <c r="J270" s="48">
        <f t="shared" si="21"/>
        <v>5</v>
      </c>
      <c r="K270" s="48">
        <f t="shared" si="22"/>
        <v>5</v>
      </c>
      <c r="L270" s="39" t="s">
        <v>9</v>
      </c>
      <c r="N270" s="44">
        <v>45973</v>
      </c>
      <c r="O270" s="39">
        <v>4</v>
      </c>
      <c r="P270" s="39">
        <v>5</v>
      </c>
      <c r="Q270" s="39">
        <v>5</v>
      </c>
      <c r="R270" s="39">
        <v>6</v>
      </c>
      <c r="S270" s="51" t="str">
        <f t="shared" si="23"/>
        <v>Detractor</v>
      </c>
    </row>
    <row r="271" ht="14.25" customHeight="1" spans="1:19">
      <c r="A271" s="43" t="s">
        <v>313</v>
      </c>
      <c r="B271" s="43" t="s">
        <v>13</v>
      </c>
      <c r="C271" s="43" t="s">
        <v>22</v>
      </c>
      <c r="D271" s="44">
        <v>45951</v>
      </c>
      <c r="E271" s="44">
        <v>45954</v>
      </c>
      <c r="F271" s="44">
        <v>45956</v>
      </c>
      <c r="G271" s="44">
        <v>45958</v>
      </c>
      <c r="H271" s="45" t="str">
        <f t="shared" si="24"/>
        <v>Delivered</v>
      </c>
      <c r="I271" s="48">
        <f t="shared" si="20"/>
        <v>3</v>
      </c>
      <c r="J271" s="48">
        <f t="shared" si="21"/>
        <v>2</v>
      </c>
      <c r="K271" s="48">
        <f t="shared" si="22"/>
        <v>2</v>
      </c>
      <c r="L271" s="39" t="s">
        <v>9</v>
      </c>
      <c r="N271" s="44">
        <v>45980</v>
      </c>
      <c r="O271" s="39">
        <v>3</v>
      </c>
      <c r="P271" s="39">
        <v>2</v>
      </c>
      <c r="Q271" s="39">
        <v>2</v>
      </c>
      <c r="R271" s="39">
        <v>1</v>
      </c>
      <c r="S271" s="51" t="str">
        <f t="shared" si="23"/>
        <v>Detractor</v>
      </c>
    </row>
    <row r="272" ht="14.25" customHeight="1" spans="1:19">
      <c r="A272" s="43" t="s">
        <v>314</v>
      </c>
      <c r="B272" s="43" t="s">
        <v>14</v>
      </c>
      <c r="C272" s="43" t="s">
        <v>21</v>
      </c>
      <c r="D272" s="44">
        <v>45935</v>
      </c>
      <c r="E272" s="44">
        <v>45938</v>
      </c>
      <c r="F272" s="44">
        <v>45940</v>
      </c>
      <c r="G272" s="44">
        <v>45947</v>
      </c>
      <c r="H272" s="45" t="str">
        <f t="shared" si="24"/>
        <v>Delivered</v>
      </c>
      <c r="I272" s="48">
        <f t="shared" si="20"/>
        <v>3</v>
      </c>
      <c r="J272" s="48">
        <f t="shared" si="21"/>
        <v>2</v>
      </c>
      <c r="K272" s="48">
        <f t="shared" si="22"/>
        <v>7</v>
      </c>
      <c r="L272" s="39" t="s">
        <v>9</v>
      </c>
      <c r="N272" s="44">
        <v>45968</v>
      </c>
      <c r="O272" s="39">
        <v>3</v>
      </c>
      <c r="P272" s="39">
        <v>2</v>
      </c>
      <c r="Q272" s="39">
        <v>7</v>
      </c>
      <c r="R272" s="39">
        <v>5</v>
      </c>
      <c r="S272" s="51" t="str">
        <f t="shared" si="23"/>
        <v>Detractor</v>
      </c>
    </row>
    <row r="273" ht="14.25" customHeight="1" spans="1:19">
      <c r="A273" s="43" t="s">
        <v>315</v>
      </c>
      <c r="B273" s="43" t="s">
        <v>11</v>
      </c>
      <c r="C273" s="43" t="s">
        <v>21</v>
      </c>
      <c r="D273" s="44">
        <v>45960</v>
      </c>
      <c r="E273" s="44">
        <v>45965</v>
      </c>
      <c r="F273" s="44">
        <v>45967</v>
      </c>
      <c r="G273" s="44">
        <v>45969</v>
      </c>
      <c r="H273" s="45" t="str">
        <f t="shared" si="24"/>
        <v>Delivered</v>
      </c>
      <c r="I273" s="48">
        <f t="shared" si="20"/>
        <v>5</v>
      </c>
      <c r="J273" s="48">
        <f t="shared" si="21"/>
        <v>2</v>
      </c>
      <c r="K273" s="48">
        <f t="shared" si="22"/>
        <v>2</v>
      </c>
      <c r="L273" s="39" t="s">
        <v>9</v>
      </c>
      <c r="N273" s="44">
        <v>45984</v>
      </c>
      <c r="O273" s="39">
        <v>5</v>
      </c>
      <c r="P273" s="39">
        <v>2</v>
      </c>
      <c r="Q273" s="39">
        <v>2</v>
      </c>
      <c r="R273" s="39">
        <v>6</v>
      </c>
      <c r="S273" s="51" t="str">
        <f t="shared" si="23"/>
        <v>Detractor</v>
      </c>
    </row>
    <row r="274" ht="14.25" customHeight="1" spans="1:19">
      <c r="A274" s="43" t="s">
        <v>316</v>
      </c>
      <c r="B274" s="43" t="s">
        <v>11</v>
      </c>
      <c r="C274" s="43" t="s">
        <v>22</v>
      </c>
      <c r="D274" s="44">
        <v>45939</v>
      </c>
      <c r="E274" s="44">
        <v>45940</v>
      </c>
      <c r="F274" s="44">
        <v>45944</v>
      </c>
      <c r="G274" s="44">
        <v>45949</v>
      </c>
      <c r="H274" s="45" t="str">
        <f t="shared" si="24"/>
        <v>Delivered</v>
      </c>
      <c r="I274" s="48">
        <f t="shared" si="20"/>
        <v>1</v>
      </c>
      <c r="J274" s="48">
        <f t="shared" si="21"/>
        <v>4</v>
      </c>
      <c r="K274" s="48">
        <f t="shared" si="22"/>
        <v>5</v>
      </c>
      <c r="L274" s="39" t="s">
        <v>9</v>
      </c>
      <c r="N274" s="44">
        <v>45973</v>
      </c>
      <c r="O274" s="39">
        <v>1</v>
      </c>
      <c r="P274" s="39">
        <v>4</v>
      </c>
      <c r="Q274" s="39">
        <v>5</v>
      </c>
      <c r="R274" s="39">
        <v>9</v>
      </c>
      <c r="S274" s="51" t="str">
        <f t="shared" si="23"/>
        <v>Promoter</v>
      </c>
    </row>
    <row r="275" ht="14.25" customHeight="1" spans="1:19">
      <c r="A275" s="43" t="s">
        <v>317</v>
      </c>
      <c r="B275" s="43" t="s">
        <v>14</v>
      </c>
      <c r="C275" s="43" t="s">
        <v>21</v>
      </c>
      <c r="D275" s="44">
        <v>45957</v>
      </c>
      <c r="E275" s="44">
        <v>45960</v>
      </c>
      <c r="F275" s="44">
        <v>45962</v>
      </c>
      <c r="G275" s="44">
        <v>45968</v>
      </c>
      <c r="H275" s="45" t="str">
        <f t="shared" si="24"/>
        <v>Delivered</v>
      </c>
      <c r="I275" s="48">
        <f t="shared" si="20"/>
        <v>3</v>
      </c>
      <c r="J275" s="48">
        <f t="shared" si="21"/>
        <v>2</v>
      </c>
      <c r="K275" s="48">
        <f t="shared" si="22"/>
        <v>6</v>
      </c>
      <c r="L275" s="39" t="s">
        <v>9</v>
      </c>
      <c r="N275" s="44">
        <v>45979</v>
      </c>
      <c r="O275" s="39">
        <v>3</v>
      </c>
      <c r="P275" s="39">
        <v>2</v>
      </c>
      <c r="Q275" s="39">
        <v>6</v>
      </c>
      <c r="R275" s="39">
        <v>2</v>
      </c>
      <c r="S275" s="51" t="str">
        <f t="shared" si="23"/>
        <v>Detractor</v>
      </c>
    </row>
    <row r="276" ht="14.25" customHeight="1" spans="1:19">
      <c r="A276" s="43" t="s">
        <v>318</v>
      </c>
      <c r="B276" s="43" t="s">
        <v>13</v>
      </c>
      <c r="C276" s="43" t="s">
        <v>22</v>
      </c>
      <c r="D276" s="44">
        <v>45935</v>
      </c>
      <c r="E276" s="44">
        <v>45940</v>
      </c>
      <c r="F276" s="44">
        <v>45944</v>
      </c>
      <c r="G276" s="44">
        <v>45951</v>
      </c>
      <c r="H276" s="45" t="str">
        <f t="shared" si="24"/>
        <v>Delivered</v>
      </c>
      <c r="I276" s="48">
        <f t="shared" si="20"/>
        <v>5</v>
      </c>
      <c r="J276" s="48">
        <f t="shared" si="21"/>
        <v>4</v>
      </c>
      <c r="K276" s="48">
        <f t="shared" si="22"/>
        <v>7</v>
      </c>
      <c r="L276" s="39" t="s">
        <v>9</v>
      </c>
      <c r="N276" s="44">
        <v>45969</v>
      </c>
      <c r="O276" s="39">
        <v>5</v>
      </c>
      <c r="P276" s="39">
        <v>4</v>
      </c>
      <c r="Q276" s="39">
        <v>7</v>
      </c>
      <c r="R276" s="39">
        <v>3</v>
      </c>
      <c r="S276" s="51" t="str">
        <f t="shared" si="23"/>
        <v>Detractor</v>
      </c>
    </row>
    <row r="277" ht="14.25" customHeight="1" spans="1:19">
      <c r="A277" s="43" t="s">
        <v>319</v>
      </c>
      <c r="B277" s="43" t="s">
        <v>13</v>
      </c>
      <c r="C277" s="43" t="s">
        <v>21</v>
      </c>
      <c r="D277" s="44">
        <v>45933</v>
      </c>
      <c r="E277" s="44">
        <v>45934</v>
      </c>
      <c r="F277" s="44">
        <v>45939</v>
      </c>
      <c r="G277" s="44">
        <v>45943</v>
      </c>
      <c r="H277" s="45" t="str">
        <f t="shared" si="24"/>
        <v>Delivered</v>
      </c>
      <c r="I277" s="48">
        <f t="shared" si="20"/>
        <v>1</v>
      </c>
      <c r="J277" s="48">
        <f t="shared" si="21"/>
        <v>5</v>
      </c>
      <c r="K277" s="48">
        <f t="shared" si="22"/>
        <v>4</v>
      </c>
      <c r="L277" s="39" t="s">
        <v>9</v>
      </c>
      <c r="N277" s="44">
        <v>45967</v>
      </c>
      <c r="O277" s="39">
        <v>1</v>
      </c>
      <c r="P277" s="39">
        <v>5</v>
      </c>
      <c r="Q277" s="39">
        <v>4</v>
      </c>
      <c r="R277" s="39">
        <v>10</v>
      </c>
      <c r="S277" s="51" t="str">
        <f t="shared" si="23"/>
        <v>Promoter</v>
      </c>
    </row>
    <row r="278" ht="14.25" customHeight="1" spans="1:19">
      <c r="A278" s="43" t="s">
        <v>320</v>
      </c>
      <c r="B278" s="43" t="s">
        <v>13</v>
      </c>
      <c r="C278" s="43" t="s">
        <v>22</v>
      </c>
      <c r="D278" s="44">
        <v>45932</v>
      </c>
      <c r="E278" s="44">
        <v>45935</v>
      </c>
      <c r="F278" s="44">
        <v>45938</v>
      </c>
      <c r="G278" s="44">
        <v>45945</v>
      </c>
      <c r="H278" s="45" t="str">
        <f t="shared" si="24"/>
        <v>Delivered</v>
      </c>
      <c r="I278" s="48">
        <f t="shared" si="20"/>
        <v>3</v>
      </c>
      <c r="J278" s="48">
        <f t="shared" si="21"/>
        <v>3</v>
      </c>
      <c r="K278" s="48">
        <f t="shared" si="22"/>
        <v>7</v>
      </c>
      <c r="L278" s="39" t="s">
        <v>9</v>
      </c>
      <c r="N278" s="44">
        <v>45969</v>
      </c>
      <c r="O278" s="39">
        <v>3</v>
      </c>
      <c r="P278" s="39">
        <v>3</v>
      </c>
      <c r="Q278" s="39">
        <v>7</v>
      </c>
      <c r="R278" s="39">
        <v>8</v>
      </c>
      <c r="S278" s="51" t="str">
        <f t="shared" si="23"/>
        <v>Passive</v>
      </c>
    </row>
    <row r="279" ht="14.25" customHeight="1" spans="1:19">
      <c r="A279" s="43" t="s">
        <v>321</v>
      </c>
      <c r="B279" s="43" t="s">
        <v>12</v>
      </c>
      <c r="C279" s="43" t="s">
        <v>22</v>
      </c>
      <c r="D279" s="44">
        <v>45936</v>
      </c>
      <c r="E279" s="44">
        <v>45940</v>
      </c>
      <c r="F279" s="44">
        <v>45944</v>
      </c>
      <c r="G279" s="44">
        <v>45948</v>
      </c>
      <c r="H279" s="45" t="str">
        <f t="shared" si="24"/>
        <v>Delivered</v>
      </c>
      <c r="I279" s="48">
        <f t="shared" si="20"/>
        <v>4</v>
      </c>
      <c r="J279" s="48">
        <f t="shared" si="21"/>
        <v>4</v>
      </c>
      <c r="K279" s="48">
        <f t="shared" si="22"/>
        <v>4</v>
      </c>
      <c r="L279" s="39" t="s">
        <v>9</v>
      </c>
      <c r="N279" s="44">
        <v>45966</v>
      </c>
      <c r="O279" s="39">
        <v>4</v>
      </c>
      <c r="P279" s="39">
        <v>4</v>
      </c>
      <c r="Q279" s="39">
        <v>4</v>
      </c>
      <c r="R279" s="39">
        <v>1</v>
      </c>
      <c r="S279" s="51" t="str">
        <f t="shared" si="23"/>
        <v>Detractor</v>
      </c>
    </row>
    <row r="280" ht="14.25" customHeight="1" spans="1:19">
      <c r="A280" s="43" t="s">
        <v>322</v>
      </c>
      <c r="B280" s="43" t="s">
        <v>11</v>
      </c>
      <c r="C280" s="43" t="s">
        <v>20</v>
      </c>
      <c r="D280" s="44">
        <v>45956</v>
      </c>
      <c r="H280" s="45" t="str">
        <f t="shared" si="24"/>
        <v>Cancelled</v>
      </c>
      <c r="I280" s="48">
        <f t="shared" si="20"/>
        <v>0</v>
      </c>
      <c r="J280" s="48">
        <f t="shared" si="21"/>
        <v>0</v>
      </c>
      <c r="K280" s="48">
        <f t="shared" si="22"/>
        <v>0</v>
      </c>
      <c r="L280" s="39" t="s">
        <v>10</v>
      </c>
      <c r="M280" s="39" t="s">
        <v>42</v>
      </c>
      <c r="S280" s="51" t="str">
        <f t="shared" si="23"/>
        <v>Detractor</v>
      </c>
    </row>
    <row r="281" ht="14.25" customHeight="1" spans="1:19">
      <c r="A281" s="43" t="s">
        <v>323</v>
      </c>
      <c r="B281" s="43" t="s">
        <v>11</v>
      </c>
      <c r="C281" s="43" t="s">
        <v>21</v>
      </c>
      <c r="D281" s="44">
        <v>45940</v>
      </c>
      <c r="E281" s="44">
        <v>45944</v>
      </c>
      <c r="F281" s="44">
        <v>45949</v>
      </c>
      <c r="G281" s="44">
        <v>45954</v>
      </c>
      <c r="H281" s="45" t="str">
        <f t="shared" si="24"/>
        <v>Delivered</v>
      </c>
      <c r="I281" s="48">
        <f t="shared" si="20"/>
        <v>4</v>
      </c>
      <c r="J281" s="48">
        <f t="shared" si="21"/>
        <v>5</v>
      </c>
      <c r="K281" s="48">
        <f t="shared" si="22"/>
        <v>5</v>
      </c>
      <c r="L281" s="39" t="s">
        <v>10</v>
      </c>
      <c r="M281" s="39" t="s">
        <v>42</v>
      </c>
      <c r="O281" s="39">
        <v>4</v>
      </c>
      <c r="P281" s="39">
        <v>5</v>
      </c>
      <c r="Q281" s="39">
        <v>5</v>
      </c>
      <c r="S281" s="51" t="str">
        <f t="shared" si="23"/>
        <v>Detractor</v>
      </c>
    </row>
    <row r="282" ht="14.25" customHeight="1" spans="1:19">
      <c r="A282" s="43" t="s">
        <v>324</v>
      </c>
      <c r="B282" s="43" t="s">
        <v>11</v>
      </c>
      <c r="C282" s="43" t="s">
        <v>22</v>
      </c>
      <c r="D282" s="44">
        <v>45950</v>
      </c>
      <c r="E282" s="44">
        <v>45951</v>
      </c>
      <c r="F282" s="44">
        <v>45955</v>
      </c>
      <c r="G282" s="44">
        <v>45960</v>
      </c>
      <c r="H282" s="45" t="str">
        <f t="shared" si="24"/>
        <v>Delivered</v>
      </c>
      <c r="I282" s="48">
        <f t="shared" si="20"/>
        <v>1</v>
      </c>
      <c r="J282" s="48">
        <f t="shared" si="21"/>
        <v>4</v>
      </c>
      <c r="K282" s="48">
        <f t="shared" si="22"/>
        <v>5</v>
      </c>
      <c r="L282" s="39" t="s">
        <v>9</v>
      </c>
      <c r="N282" s="44">
        <v>45977</v>
      </c>
      <c r="O282" s="39">
        <v>1</v>
      </c>
      <c r="P282" s="39">
        <v>4</v>
      </c>
      <c r="Q282" s="39">
        <v>5</v>
      </c>
      <c r="R282" s="39">
        <v>8</v>
      </c>
      <c r="S282" s="51" t="str">
        <f t="shared" si="23"/>
        <v>Passive</v>
      </c>
    </row>
    <row r="283" ht="14.25" customHeight="1" spans="1:19">
      <c r="A283" s="43" t="s">
        <v>325</v>
      </c>
      <c r="B283" s="43" t="s">
        <v>12</v>
      </c>
      <c r="C283" s="43" t="s">
        <v>20</v>
      </c>
      <c r="D283" s="44">
        <v>45954</v>
      </c>
      <c r="H283" s="45" t="str">
        <f t="shared" si="24"/>
        <v>Cancelled</v>
      </c>
      <c r="I283" s="48">
        <f t="shared" si="20"/>
        <v>0</v>
      </c>
      <c r="J283" s="48">
        <f t="shared" si="21"/>
        <v>0</v>
      </c>
      <c r="K283" s="48">
        <f t="shared" si="22"/>
        <v>0</v>
      </c>
      <c r="L283" s="39" t="s">
        <v>10</v>
      </c>
      <c r="M283" s="39" t="s">
        <v>49</v>
      </c>
      <c r="S283" s="51" t="str">
        <f t="shared" si="23"/>
        <v>Detractor</v>
      </c>
    </row>
    <row r="284" ht="14.25" customHeight="1" spans="1:19">
      <c r="A284" s="43" t="s">
        <v>326</v>
      </c>
      <c r="B284" s="43" t="s">
        <v>11</v>
      </c>
      <c r="C284" s="43" t="s">
        <v>21</v>
      </c>
      <c r="D284" s="44">
        <v>45957</v>
      </c>
      <c r="E284" s="44">
        <v>45958</v>
      </c>
      <c r="F284" s="44">
        <v>45963</v>
      </c>
      <c r="G284" s="44">
        <v>45967</v>
      </c>
      <c r="H284" s="45" t="str">
        <f t="shared" si="24"/>
        <v>Delivered</v>
      </c>
      <c r="I284" s="48">
        <f t="shared" si="20"/>
        <v>1</v>
      </c>
      <c r="J284" s="48">
        <f t="shared" si="21"/>
        <v>5</v>
      </c>
      <c r="K284" s="48">
        <f t="shared" si="22"/>
        <v>4</v>
      </c>
      <c r="L284" s="39" t="s">
        <v>10</v>
      </c>
      <c r="M284" s="39" t="s">
        <v>44</v>
      </c>
      <c r="O284" s="39">
        <v>1</v>
      </c>
      <c r="P284" s="39">
        <v>5</v>
      </c>
      <c r="Q284" s="39">
        <v>4</v>
      </c>
      <c r="S284" s="51" t="str">
        <f t="shared" si="23"/>
        <v>Detractor</v>
      </c>
    </row>
    <row r="285" ht="14.25" customHeight="1" spans="1:19">
      <c r="A285" s="43" t="s">
        <v>327</v>
      </c>
      <c r="B285" s="43" t="s">
        <v>12</v>
      </c>
      <c r="C285" s="43" t="s">
        <v>20</v>
      </c>
      <c r="D285" s="44">
        <v>45949</v>
      </c>
      <c r="H285" s="45" t="str">
        <f t="shared" si="24"/>
        <v>Cancelled</v>
      </c>
      <c r="I285" s="48">
        <f t="shared" si="20"/>
        <v>0</v>
      </c>
      <c r="J285" s="48">
        <f t="shared" si="21"/>
        <v>0</v>
      </c>
      <c r="K285" s="48">
        <f t="shared" si="22"/>
        <v>0</v>
      </c>
      <c r="L285" s="39" t="s">
        <v>10</v>
      </c>
      <c r="M285" s="39" t="s">
        <v>49</v>
      </c>
      <c r="S285" s="51" t="str">
        <f t="shared" si="23"/>
        <v>Detractor</v>
      </c>
    </row>
    <row r="286" ht="14.25" customHeight="1" spans="1:19">
      <c r="A286" s="43" t="s">
        <v>328</v>
      </c>
      <c r="B286" s="43" t="s">
        <v>13</v>
      </c>
      <c r="C286" s="43" t="s">
        <v>22</v>
      </c>
      <c r="D286" s="44">
        <v>45960</v>
      </c>
      <c r="E286" s="44">
        <v>45963</v>
      </c>
      <c r="F286" s="44">
        <v>45965</v>
      </c>
      <c r="G286" s="44">
        <v>45971</v>
      </c>
      <c r="H286" s="45" t="str">
        <f t="shared" si="24"/>
        <v>Delivered</v>
      </c>
      <c r="I286" s="48">
        <f t="shared" si="20"/>
        <v>3</v>
      </c>
      <c r="J286" s="48">
        <f t="shared" si="21"/>
        <v>2</v>
      </c>
      <c r="K286" s="48">
        <f t="shared" si="22"/>
        <v>6</v>
      </c>
      <c r="L286" s="39" t="s">
        <v>9</v>
      </c>
      <c r="N286" s="44">
        <v>45989</v>
      </c>
      <c r="O286" s="39">
        <v>3</v>
      </c>
      <c r="P286" s="39">
        <v>2</v>
      </c>
      <c r="Q286" s="39">
        <v>6</v>
      </c>
      <c r="R286" s="39">
        <v>4</v>
      </c>
      <c r="S286" s="51" t="str">
        <f t="shared" si="23"/>
        <v>Detractor</v>
      </c>
    </row>
    <row r="287" ht="14.25" customHeight="1" spans="1:19">
      <c r="A287" s="43" t="s">
        <v>329</v>
      </c>
      <c r="B287" s="43" t="s">
        <v>14</v>
      </c>
      <c r="C287" s="43" t="s">
        <v>22</v>
      </c>
      <c r="D287" s="44">
        <v>45940</v>
      </c>
      <c r="E287" s="44">
        <v>45943</v>
      </c>
      <c r="F287" s="44">
        <v>45945</v>
      </c>
      <c r="G287" s="44">
        <v>45947</v>
      </c>
      <c r="H287" s="45" t="str">
        <f t="shared" si="24"/>
        <v>Delivered</v>
      </c>
      <c r="I287" s="48">
        <f t="shared" si="20"/>
        <v>3</v>
      </c>
      <c r="J287" s="48">
        <f t="shared" si="21"/>
        <v>2</v>
      </c>
      <c r="K287" s="48">
        <f t="shared" si="22"/>
        <v>2</v>
      </c>
      <c r="L287" s="39" t="s">
        <v>9</v>
      </c>
      <c r="N287" s="44">
        <v>45975</v>
      </c>
      <c r="O287" s="39">
        <v>3</v>
      </c>
      <c r="P287" s="39">
        <v>2</v>
      </c>
      <c r="Q287" s="39">
        <v>2</v>
      </c>
      <c r="R287" s="39">
        <v>9</v>
      </c>
      <c r="S287" s="51" t="str">
        <f t="shared" si="23"/>
        <v>Promoter</v>
      </c>
    </row>
    <row r="288" ht="14.25" customHeight="1" spans="1:19">
      <c r="A288" s="43" t="s">
        <v>330</v>
      </c>
      <c r="B288" s="43" t="s">
        <v>11</v>
      </c>
      <c r="C288" s="43" t="s">
        <v>20</v>
      </c>
      <c r="D288" s="44">
        <v>45945</v>
      </c>
      <c r="H288" s="45" t="str">
        <f t="shared" si="24"/>
        <v>Cancelled</v>
      </c>
      <c r="I288" s="48">
        <f t="shared" si="20"/>
        <v>0</v>
      </c>
      <c r="J288" s="48">
        <f t="shared" si="21"/>
        <v>0</v>
      </c>
      <c r="K288" s="48">
        <f t="shared" si="22"/>
        <v>0</v>
      </c>
      <c r="L288" s="39" t="s">
        <v>10</v>
      </c>
      <c r="M288" s="39" t="s">
        <v>44</v>
      </c>
      <c r="S288" s="51" t="str">
        <f t="shared" si="23"/>
        <v>Detractor</v>
      </c>
    </row>
    <row r="289" ht="14.25" customHeight="1" spans="1:19">
      <c r="A289" s="43" t="s">
        <v>331</v>
      </c>
      <c r="B289" s="43" t="s">
        <v>11</v>
      </c>
      <c r="C289" s="43" t="s">
        <v>21</v>
      </c>
      <c r="D289" s="44">
        <v>45934</v>
      </c>
      <c r="E289" s="44">
        <v>45935</v>
      </c>
      <c r="F289" s="44">
        <v>45940</v>
      </c>
      <c r="G289" s="44">
        <v>45947</v>
      </c>
      <c r="H289" s="45" t="str">
        <f t="shared" si="24"/>
        <v>Delivered</v>
      </c>
      <c r="I289" s="48">
        <f t="shared" si="20"/>
        <v>1</v>
      </c>
      <c r="J289" s="48">
        <f t="shared" si="21"/>
        <v>5</v>
      </c>
      <c r="K289" s="48">
        <f t="shared" si="22"/>
        <v>7</v>
      </c>
      <c r="L289" s="39" t="s">
        <v>9</v>
      </c>
      <c r="N289" s="44">
        <v>45958</v>
      </c>
      <c r="O289" s="39">
        <v>1</v>
      </c>
      <c r="P289" s="39">
        <v>5</v>
      </c>
      <c r="Q289" s="39">
        <v>7</v>
      </c>
      <c r="R289" s="39">
        <v>2</v>
      </c>
      <c r="S289" s="51" t="str">
        <f t="shared" si="23"/>
        <v>Detractor</v>
      </c>
    </row>
    <row r="290" ht="14.25" customHeight="1" spans="1:19">
      <c r="A290" s="43" t="s">
        <v>332</v>
      </c>
      <c r="B290" s="43" t="s">
        <v>13</v>
      </c>
      <c r="C290" s="43" t="s">
        <v>22</v>
      </c>
      <c r="D290" s="44">
        <v>45945</v>
      </c>
      <c r="E290" s="44">
        <v>45946</v>
      </c>
      <c r="F290" s="44">
        <v>45947</v>
      </c>
      <c r="G290" s="44">
        <v>45949</v>
      </c>
      <c r="H290" s="45" t="str">
        <f t="shared" si="24"/>
        <v>Delivered</v>
      </c>
      <c r="I290" s="48">
        <f t="shared" si="20"/>
        <v>1</v>
      </c>
      <c r="J290" s="48">
        <f t="shared" si="21"/>
        <v>1</v>
      </c>
      <c r="K290" s="48">
        <f t="shared" si="22"/>
        <v>2</v>
      </c>
      <c r="L290" s="39" t="s">
        <v>10</v>
      </c>
      <c r="M290" s="39" t="s">
        <v>49</v>
      </c>
      <c r="O290" s="39">
        <v>1</v>
      </c>
      <c r="P290" s="39">
        <v>1</v>
      </c>
      <c r="Q290" s="39">
        <v>2</v>
      </c>
      <c r="S290" s="51" t="str">
        <f t="shared" si="23"/>
        <v>Detractor</v>
      </c>
    </row>
    <row r="291" ht="14.25" customHeight="1" spans="1:19">
      <c r="A291" s="43" t="s">
        <v>333</v>
      </c>
      <c r="B291" s="43" t="s">
        <v>14</v>
      </c>
      <c r="C291" s="43" t="s">
        <v>20</v>
      </c>
      <c r="D291" s="44">
        <v>45953</v>
      </c>
      <c r="H291" s="45" t="str">
        <f t="shared" si="24"/>
        <v>Cancelled</v>
      </c>
      <c r="I291" s="48">
        <f t="shared" si="20"/>
        <v>0</v>
      </c>
      <c r="J291" s="48">
        <f t="shared" si="21"/>
        <v>0</v>
      </c>
      <c r="K291" s="48">
        <f t="shared" si="22"/>
        <v>0</v>
      </c>
      <c r="L291" s="39" t="s">
        <v>10</v>
      </c>
      <c r="M291" s="39" t="s">
        <v>42</v>
      </c>
      <c r="S291" s="51" t="str">
        <f t="shared" si="23"/>
        <v>Detractor</v>
      </c>
    </row>
    <row r="292" ht="14.25" customHeight="1" spans="1:19">
      <c r="A292" s="43" t="s">
        <v>334</v>
      </c>
      <c r="B292" s="43" t="s">
        <v>12</v>
      </c>
      <c r="C292" s="43" t="s">
        <v>21</v>
      </c>
      <c r="D292" s="44">
        <v>45940</v>
      </c>
      <c r="E292" s="44">
        <v>45945</v>
      </c>
      <c r="F292" s="44">
        <v>45950</v>
      </c>
      <c r="G292" s="44">
        <v>45957</v>
      </c>
      <c r="H292" s="45" t="str">
        <f t="shared" si="24"/>
        <v>Delivered</v>
      </c>
      <c r="I292" s="48">
        <f t="shared" si="20"/>
        <v>5</v>
      </c>
      <c r="J292" s="48">
        <f t="shared" si="21"/>
        <v>5</v>
      </c>
      <c r="K292" s="48">
        <f t="shared" si="22"/>
        <v>7</v>
      </c>
      <c r="L292" s="39" t="s">
        <v>9</v>
      </c>
      <c r="N292" s="44">
        <v>45971</v>
      </c>
      <c r="O292" s="39">
        <v>5</v>
      </c>
      <c r="P292" s="39">
        <v>5</v>
      </c>
      <c r="Q292" s="39">
        <v>7</v>
      </c>
      <c r="R292" s="39">
        <v>4</v>
      </c>
      <c r="S292" s="51" t="str">
        <f t="shared" si="23"/>
        <v>Detractor</v>
      </c>
    </row>
    <row r="293" ht="14.25" customHeight="1" spans="1:19">
      <c r="A293" s="43" t="s">
        <v>335</v>
      </c>
      <c r="B293" s="43" t="s">
        <v>14</v>
      </c>
      <c r="C293" s="43" t="s">
        <v>22</v>
      </c>
      <c r="D293" s="44">
        <v>45953</v>
      </c>
      <c r="E293" s="44">
        <v>45958</v>
      </c>
      <c r="F293" s="44">
        <v>45962</v>
      </c>
      <c r="G293" s="44">
        <v>45967</v>
      </c>
      <c r="H293" s="45" t="str">
        <f t="shared" si="24"/>
        <v>Delivered</v>
      </c>
      <c r="I293" s="48">
        <f t="shared" si="20"/>
        <v>5</v>
      </c>
      <c r="J293" s="48">
        <f t="shared" si="21"/>
        <v>4</v>
      </c>
      <c r="K293" s="48">
        <f t="shared" si="22"/>
        <v>5</v>
      </c>
      <c r="L293" s="39" t="s">
        <v>9</v>
      </c>
      <c r="N293" s="44">
        <v>45980</v>
      </c>
      <c r="O293" s="39">
        <v>5</v>
      </c>
      <c r="P293" s="39">
        <v>4</v>
      </c>
      <c r="Q293" s="39">
        <v>5</v>
      </c>
      <c r="R293" s="39">
        <v>1</v>
      </c>
      <c r="S293" s="51" t="str">
        <f t="shared" si="23"/>
        <v>Detractor</v>
      </c>
    </row>
    <row r="294" ht="14.25" customHeight="1" spans="1:19">
      <c r="A294" s="43" t="s">
        <v>336</v>
      </c>
      <c r="B294" s="43" t="s">
        <v>13</v>
      </c>
      <c r="C294" s="43" t="s">
        <v>20</v>
      </c>
      <c r="D294" s="44">
        <v>45943</v>
      </c>
      <c r="H294" s="45" t="str">
        <f t="shared" si="24"/>
        <v>Cancelled</v>
      </c>
      <c r="I294" s="48">
        <f t="shared" si="20"/>
        <v>0</v>
      </c>
      <c r="J294" s="48">
        <f t="shared" si="21"/>
        <v>0</v>
      </c>
      <c r="K294" s="48">
        <f t="shared" si="22"/>
        <v>0</v>
      </c>
      <c r="L294" s="39" t="s">
        <v>10</v>
      </c>
      <c r="M294" s="39" t="s">
        <v>42</v>
      </c>
      <c r="S294" s="51" t="str">
        <f t="shared" si="23"/>
        <v>Detractor</v>
      </c>
    </row>
    <row r="295" ht="14.25" customHeight="1" spans="1:19">
      <c r="A295" s="43" t="s">
        <v>337</v>
      </c>
      <c r="B295" s="43" t="s">
        <v>13</v>
      </c>
      <c r="C295" s="43" t="s">
        <v>21</v>
      </c>
      <c r="D295" s="44">
        <v>45961</v>
      </c>
      <c r="E295" s="44">
        <v>45966</v>
      </c>
      <c r="F295" s="44">
        <v>45971</v>
      </c>
      <c r="G295" s="44">
        <v>45978</v>
      </c>
      <c r="H295" s="45" t="str">
        <f t="shared" si="24"/>
        <v>Delivered</v>
      </c>
      <c r="I295" s="48">
        <f t="shared" si="20"/>
        <v>5</v>
      </c>
      <c r="J295" s="48">
        <f t="shared" si="21"/>
        <v>5</v>
      </c>
      <c r="K295" s="48">
        <f t="shared" si="22"/>
        <v>7</v>
      </c>
      <c r="L295" s="39" t="s">
        <v>9</v>
      </c>
      <c r="N295" s="44">
        <v>45990</v>
      </c>
      <c r="O295" s="39">
        <v>5</v>
      </c>
      <c r="P295" s="39">
        <v>5</v>
      </c>
      <c r="Q295" s="39">
        <v>7</v>
      </c>
      <c r="R295" s="39">
        <v>6</v>
      </c>
      <c r="S295" s="51" t="str">
        <f t="shared" si="23"/>
        <v>Detractor</v>
      </c>
    </row>
    <row r="296" ht="14.25" customHeight="1" spans="1:19">
      <c r="A296" s="43" t="s">
        <v>338</v>
      </c>
      <c r="B296" s="43" t="s">
        <v>14</v>
      </c>
      <c r="C296" s="43" t="s">
        <v>20</v>
      </c>
      <c r="D296" s="44">
        <v>45939</v>
      </c>
      <c r="H296" s="45" t="str">
        <f t="shared" si="24"/>
        <v>Cancelled</v>
      </c>
      <c r="I296" s="48">
        <f t="shared" si="20"/>
        <v>0</v>
      </c>
      <c r="J296" s="48">
        <f t="shared" si="21"/>
        <v>0</v>
      </c>
      <c r="K296" s="48">
        <f t="shared" si="22"/>
        <v>0</v>
      </c>
      <c r="L296" s="39" t="s">
        <v>10</v>
      </c>
      <c r="M296" s="39" t="s">
        <v>117</v>
      </c>
      <c r="S296" s="51" t="str">
        <f t="shared" si="23"/>
        <v>Detractor</v>
      </c>
    </row>
    <row r="297" ht="14.25" customHeight="1" spans="1:19">
      <c r="A297" s="43" t="s">
        <v>339</v>
      </c>
      <c r="B297" s="43" t="s">
        <v>12</v>
      </c>
      <c r="C297" s="43" t="s">
        <v>22</v>
      </c>
      <c r="D297" s="44">
        <v>45947</v>
      </c>
      <c r="E297" s="44">
        <v>45951</v>
      </c>
      <c r="F297" s="44">
        <v>45954</v>
      </c>
      <c r="G297" s="44">
        <v>45961</v>
      </c>
      <c r="H297" s="45" t="str">
        <f t="shared" si="24"/>
        <v>Delivered</v>
      </c>
      <c r="I297" s="48">
        <f t="shared" si="20"/>
        <v>4</v>
      </c>
      <c r="J297" s="48">
        <f t="shared" si="21"/>
        <v>3</v>
      </c>
      <c r="K297" s="48">
        <f t="shared" si="22"/>
        <v>7</v>
      </c>
      <c r="L297" s="39" t="s">
        <v>10</v>
      </c>
      <c r="M297" s="39" t="s">
        <v>79</v>
      </c>
      <c r="O297" s="39">
        <v>4</v>
      </c>
      <c r="P297" s="39">
        <v>3</v>
      </c>
      <c r="Q297" s="39">
        <v>7</v>
      </c>
      <c r="S297" s="51" t="str">
        <f t="shared" si="23"/>
        <v>Detractor</v>
      </c>
    </row>
    <row r="298" ht="14.25" customHeight="1" spans="1:19">
      <c r="A298" s="43" t="s">
        <v>340</v>
      </c>
      <c r="B298" s="43" t="s">
        <v>12</v>
      </c>
      <c r="C298" s="43" t="s">
        <v>22</v>
      </c>
      <c r="D298" s="44">
        <v>45948</v>
      </c>
      <c r="E298" s="44">
        <v>45952</v>
      </c>
      <c r="F298" s="44">
        <v>45953</v>
      </c>
      <c r="G298" s="44">
        <v>45960</v>
      </c>
      <c r="H298" s="45" t="str">
        <f t="shared" si="24"/>
        <v>Delivered</v>
      </c>
      <c r="I298" s="48">
        <f t="shared" si="20"/>
        <v>4</v>
      </c>
      <c r="J298" s="48">
        <f t="shared" si="21"/>
        <v>1</v>
      </c>
      <c r="K298" s="48">
        <f t="shared" si="22"/>
        <v>7</v>
      </c>
      <c r="L298" s="39" t="s">
        <v>9</v>
      </c>
      <c r="N298" s="44">
        <v>45981</v>
      </c>
      <c r="O298" s="39">
        <v>4</v>
      </c>
      <c r="P298" s="39">
        <v>1</v>
      </c>
      <c r="Q298" s="39">
        <v>7</v>
      </c>
      <c r="R298" s="39">
        <v>6</v>
      </c>
      <c r="S298" s="51" t="str">
        <f t="shared" si="23"/>
        <v>Detractor</v>
      </c>
    </row>
    <row r="299" ht="14.25" customHeight="1" spans="1:19">
      <c r="A299" s="43" t="s">
        <v>341</v>
      </c>
      <c r="B299" s="43" t="s">
        <v>11</v>
      </c>
      <c r="C299" s="43" t="s">
        <v>22</v>
      </c>
      <c r="D299" s="44">
        <v>45946</v>
      </c>
      <c r="E299" s="44">
        <v>45951</v>
      </c>
      <c r="F299" s="44">
        <v>45956</v>
      </c>
      <c r="G299" s="44">
        <v>45960</v>
      </c>
      <c r="H299" s="45" t="str">
        <f t="shared" si="24"/>
        <v>Delivered</v>
      </c>
      <c r="I299" s="48">
        <f t="shared" si="20"/>
        <v>5</v>
      </c>
      <c r="J299" s="48">
        <f t="shared" si="21"/>
        <v>5</v>
      </c>
      <c r="K299" s="48">
        <f t="shared" si="22"/>
        <v>4</v>
      </c>
      <c r="L299" s="39" t="s">
        <v>9</v>
      </c>
      <c r="N299" s="44">
        <v>45987</v>
      </c>
      <c r="O299" s="39">
        <v>5</v>
      </c>
      <c r="P299" s="39">
        <v>5</v>
      </c>
      <c r="Q299" s="39">
        <v>4</v>
      </c>
      <c r="R299" s="39">
        <v>10</v>
      </c>
      <c r="S299" s="51" t="str">
        <f t="shared" si="23"/>
        <v>Promoter</v>
      </c>
    </row>
    <row r="300" ht="14.25" customHeight="1" spans="1:19">
      <c r="A300" s="43" t="s">
        <v>342</v>
      </c>
      <c r="B300" s="43" t="s">
        <v>12</v>
      </c>
      <c r="C300" s="43" t="s">
        <v>21</v>
      </c>
      <c r="D300" s="44">
        <v>45945</v>
      </c>
      <c r="E300" s="44">
        <v>45950</v>
      </c>
      <c r="F300" s="44">
        <v>45951</v>
      </c>
      <c r="G300" s="44">
        <v>45953</v>
      </c>
      <c r="H300" s="45" t="str">
        <f t="shared" si="24"/>
        <v>Delivered</v>
      </c>
      <c r="I300" s="48">
        <f t="shared" si="20"/>
        <v>5</v>
      </c>
      <c r="J300" s="48">
        <f t="shared" si="21"/>
        <v>1</v>
      </c>
      <c r="K300" s="48">
        <f t="shared" si="22"/>
        <v>2</v>
      </c>
      <c r="L300" s="39" t="s">
        <v>9</v>
      </c>
      <c r="N300" s="44">
        <v>45976</v>
      </c>
      <c r="O300" s="39">
        <v>5</v>
      </c>
      <c r="P300" s="39">
        <v>1</v>
      </c>
      <c r="Q300" s="39">
        <v>2</v>
      </c>
      <c r="R300" s="39">
        <v>10</v>
      </c>
      <c r="S300" s="51" t="str">
        <f t="shared" si="23"/>
        <v>Promoter</v>
      </c>
    </row>
    <row r="301" ht="14.25" customHeight="1" spans="1:19">
      <c r="A301" s="43" t="s">
        <v>343</v>
      </c>
      <c r="B301" s="43" t="s">
        <v>14</v>
      </c>
      <c r="C301" s="43" t="s">
        <v>20</v>
      </c>
      <c r="D301" s="44">
        <v>45933</v>
      </c>
      <c r="H301" s="45" t="str">
        <f t="shared" si="24"/>
        <v>Cancelled</v>
      </c>
      <c r="I301" s="48">
        <f t="shared" si="20"/>
        <v>0</v>
      </c>
      <c r="J301" s="48">
        <f t="shared" si="21"/>
        <v>0</v>
      </c>
      <c r="K301" s="48">
        <f t="shared" si="22"/>
        <v>0</v>
      </c>
      <c r="L301" s="39" t="s">
        <v>10</v>
      </c>
      <c r="M301" s="39" t="s">
        <v>49</v>
      </c>
      <c r="S301" s="51" t="str">
        <f t="shared" si="23"/>
        <v>Detractor</v>
      </c>
    </row>
    <row r="302" ht="14.25" customHeight="1" spans="1:19">
      <c r="A302" s="43" t="s">
        <v>344</v>
      </c>
      <c r="B302" s="43" t="s">
        <v>13</v>
      </c>
      <c r="C302" s="43" t="s">
        <v>20</v>
      </c>
      <c r="D302" s="44">
        <v>45950</v>
      </c>
      <c r="H302" s="45" t="str">
        <f t="shared" si="24"/>
        <v>Cancelled</v>
      </c>
      <c r="I302" s="48">
        <f t="shared" si="20"/>
        <v>0</v>
      </c>
      <c r="J302" s="48">
        <f t="shared" si="21"/>
        <v>0</v>
      </c>
      <c r="K302" s="48">
        <f t="shared" si="22"/>
        <v>0</v>
      </c>
      <c r="L302" s="39" t="s">
        <v>10</v>
      </c>
      <c r="M302" s="39" t="s">
        <v>117</v>
      </c>
      <c r="S302" s="51" t="str">
        <f t="shared" si="23"/>
        <v>Detractor</v>
      </c>
    </row>
    <row r="303" ht="14.25" customHeight="1" spans="1:19">
      <c r="A303" s="43" t="s">
        <v>345</v>
      </c>
      <c r="B303" s="43" t="s">
        <v>11</v>
      </c>
      <c r="C303" s="43" t="s">
        <v>22</v>
      </c>
      <c r="D303" s="44">
        <v>45932</v>
      </c>
      <c r="E303" s="44">
        <v>45933</v>
      </c>
      <c r="F303" s="44">
        <v>45934</v>
      </c>
      <c r="G303" s="44">
        <v>45940</v>
      </c>
      <c r="H303" s="45" t="str">
        <f t="shared" si="24"/>
        <v>Delivered</v>
      </c>
      <c r="I303" s="48">
        <f t="shared" si="20"/>
        <v>1</v>
      </c>
      <c r="J303" s="48">
        <f t="shared" si="21"/>
        <v>1</v>
      </c>
      <c r="K303" s="48">
        <f t="shared" si="22"/>
        <v>6</v>
      </c>
      <c r="L303" s="39" t="s">
        <v>9</v>
      </c>
      <c r="N303" s="44">
        <v>45968</v>
      </c>
      <c r="O303" s="39">
        <v>1</v>
      </c>
      <c r="P303" s="39">
        <v>1</v>
      </c>
      <c r="Q303" s="39">
        <v>6</v>
      </c>
      <c r="R303" s="39">
        <v>8</v>
      </c>
      <c r="S303" s="51" t="str">
        <f t="shared" si="23"/>
        <v>Passive</v>
      </c>
    </row>
    <row r="304" ht="14.25" customHeight="1" spans="1:19">
      <c r="A304" s="43" t="s">
        <v>346</v>
      </c>
      <c r="B304" s="43" t="s">
        <v>11</v>
      </c>
      <c r="C304" s="43" t="s">
        <v>22</v>
      </c>
      <c r="D304" s="44">
        <v>45959</v>
      </c>
      <c r="E304" s="44">
        <v>45963</v>
      </c>
      <c r="F304" s="44">
        <v>45968</v>
      </c>
      <c r="G304" s="44">
        <v>45973</v>
      </c>
      <c r="H304" s="45" t="str">
        <f t="shared" si="24"/>
        <v>Delivered</v>
      </c>
      <c r="I304" s="48">
        <f t="shared" si="20"/>
        <v>4</v>
      </c>
      <c r="J304" s="48">
        <f t="shared" si="21"/>
        <v>5</v>
      </c>
      <c r="K304" s="48">
        <f t="shared" si="22"/>
        <v>5</v>
      </c>
      <c r="L304" s="39" t="s">
        <v>9</v>
      </c>
      <c r="N304" s="44">
        <v>45990</v>
      </c>
      <c r="O304" s="39">
        <v>4</v>
      </c>
      <c r="P304" s="39">
        <v>5</v>
      </c>
      <c r="Q304" s="39">
        <v>5</v>
      </c>
      <c r="R304" s="39">
        <v>5</v>
      </c>
      <c r="S304" s="51" t="str">
        <f t="shared" si="23"/>
        <v>Detractor</v>
      </c>
    </row>
    <row r="305" ht="14.25" customHeight="1" spans="1:19">
      <c r="A305" s="43" t="s">
        <v>347</v>
      </c>
      <c r="B305" s="43" t="s">
        <v>13</v>
      </c>
      <c r="C305" s="43" t="s">
        <v>22</v>
      </c>
      <c r="D305" s="44">
        <v>45944</v>
      </c>
      <c r="E305" s="44">
        <v>45949</v>
      </c>
      <c r="F305" s="44">
        <v>45954</v>
      </c>
      <c r="G305" s="44">
        <v>45957</v>
      </c>
      <c r="H305" s="45" t="str">
        <f t="shared" si="24"/>
        <v>Delivered</v>
      </c>
      <c r="I305" s="48">
        <f t="shared" si="20"/>
        <v>5</v>
      </c>
      <c r="J305" s="48">
        <f t="shared" si="21"/>
        <v>5</v>
      </c>
      <c r="K305" s="48">
        <f t="shared" si="22"/>
        <v>3</v>
      </c>
      <c r="L305" s="39" t="s">
        <v>9</v>
      </c>
      <c r="N305" s="44">
        <v>45984</v>
      </c>
      <c r="O305" s="39">
        <v>5</v>
      </c>
      <c r="P305" s="39">
        <v>5</v>
      </c>
      <c r="Q305" s="39">
        <v>3</v>
      </c>
      <c r="R305" s="39">
        <v>6</v>
      </c>
      <c r="S305" s="51" t="str">
        <f t="shared" si="23"/>
        <v>Detractor</v>
      </c>
    </row>
    <row r="306" ht="14.25" customHeight="1" spans="1:19">
      <c r="A306" s="43" t="s">
        <v>348</v>
      </c>
      <c r="B306" s="43" t="s">
        <v>12</v>
      </c>
      <c r="C306" s="43" t="s">
        <v>22</v>
      </c>
      <c r="D306" s="44">
        <v>45954</v>
      </c>
      <c r="E306" s="44">
        <v>45956</v>
      </c>
      <c r="F306" s="44">
        <v>45958</v>
      </c>
      <c r="G306" s="44">
        <v>45963</v>
      </c>
      <c r="H306" s="45" t="str">
        <f t="shared" si="24"/>
        <v>Delivered</v>
      </c>
      <c r="I306" s="48">
        <f t="shared" si="20"/>
        <v>2</v>
      </c>
      <c r="J306" s="48">
        <f t="shared" si="21"/>
        <v>2</v>
      </c>
      <c r="K306" s="48">
        <f t="shared" si="22"/>
        <v>5</v>
      </c>
      <c r="L306" s="39" t="s">
        <v>9</v>
      </c>
      <c r="N306" s="44">
        <v>45974</v>
      </c>
      <c r="O306" s="39">
        <v>2</v>
      </c>
      <c r="P306" s="39">
        <v>2</v>
      </c>
      <c r="Q306" s="39">
        <v>5</v>
      </c>
      <c r="R306" s="39">
        <v>1</v>
      </c>
      <c r="S306" s="51" t="str">
        <f t="shared" si="23"/>
        <v>Detractor</v>
      </c>
    </row>
    <row r="307" ht="14.25" customHeight="1" spans="1:19">
      <c r="A307" s="43" t="s">
        <v>349</v>
      </c>
      <c r="B307" s="43" t="s">
        <v>13</v>
      </c>
      <c r="C307" s="43" t="s">
        <v>22</v>
      </c>
      <c r="D307" s="44">
        <v>45941</v>
      </c>
      <c r="E307" s="44">
        <v>45944</v>
      </c>
      <c r="F307" s="44">
        <v>45949</v>
      </c>
      <c r="G307" s="44">
        <v>45952</v>
      </c>
      <c r="H307" s="45" t="str">
        <f t="shared" si="24"/>
        <v>Delivered</v>
      </c>
      <c r="I307" s="48">
        <f t="shared" si="20"/>
        <v>3</v>
      </c>
      <c r="J307" s="48">
        <f t="shared" si="21"/>
        <v>5</v>
      </c>
      <c r="K307" s="48">
        <f t="shared" si="22"/>
        <v>3</v>
      </c>
      <c r="L307" s="39" t="s">
        <v>9</v>
      </c>
      <c r="N307" s="44">
        <v>45974</v>
      </c>
      <c r="O307" s="39">
        <v>3</v>
      </c>
      <c r="P307" s="39">
        <v>5</v>
      </c>
      <c r="Q307" s="39">
        <v>3</v>
      </c>
      <c r="R307" s="39">
        <v>1</v>
      </c>
      <c r="S307" s="51" t="str">
        <f t="shared" si="23"/>
        <v>Detractor</v>
      </c>
    </row>
    <row r="308" ht="14.25" customHeight="1" spans="1:19">
      <c r="A308" s="43" t="s">
        <v>350</v>
      </c>
      <c r="B308" s="43" t="s">
        <v>12</v>
      </c>
      <c r="C308" s="43" t="s">
        <v>22</v>
      </c>
      <c r="D308" s="44">
        <v>45950</v>
      </c>
      <c r="E308" s="44">
        <v>45955</v>
      </c>
      <c r="F308" s="44">
        <v>45960</v>
      </c>
      <c r="G308" s="44">
        <v>45965</v>
      </c>
      <c r="H308" s="45" t="str">
        <f t="shared" si="24"/>
        <v>Delivered</v>
      </c>
      <c r="I308" s="48">
        <f t="shared" si="20"/>
        <v>5</v>
      </c>
      <c r="J308" s="48">
        <f t="shared" si="21"/>
        <v>5</v>
      </c>
      <c r="K308" s="48">
        <f t="shared" si="22"/>
        <v>5</v>
      </c>
      <c r="L308" s="39" t="s">
        <v>9</v>
      </c>
      <c r="N308" s="44">
        <v>45991</v>
      </c>
      <c r="O308" s="39">
        <v>5</v>
      </c>
      <c r="P308" s="39">
        <v>5</v>
      </c>
      <c r="Q308" s="39">
        <v>5</v>
      </c>
      <c r="R308" s="39">
        <v>8</v>
      </c>
      <c r="S308" s="51" t="str">
        <f t="shared" si="23"/>
        <v>Passive</v>
      </c>
    </row>
    <row r="309" ht="14.25" customHeight="1" spans="1:19">
      <c r="A309" s="43" t="s">
        <v>351</v>
      </c>
      <c r="B309" s="43" t="s">
        <v>13</v>
      </c>
      <c r="C309" s="43" t="s">
        <v>22</v>
      </c>
      <c r="D309" s="44">
        <v>45939</v>
      </c>
      <c r="E309" s="44">
        <v>45943</v>
      </c>
      <c r="F309" s="44">
        <v>45945</v>
      </c>
      <c r="G309" s="44">
        <v>45949</v>
      </c>
      <c r="H309" s="45" t="str">
        <f t="shared" si="24"/>
        <v>Delivered</v>
      </c>
      <c r="I309" s="48">
        <f t="shared" si="20"/>
        <v>4</v>
      </c>
      <c r="J309" s="48">
        <f t="shared" si="21"/>
        <v>2</v>
      </c>
      <c r="K309" s="48">
        <f t="shared" si="22"/>
        <v>4</v>
      </c>
      <c r="L309" s="39" t="s">
        <v>9</v>
      </c>
      <c r="N309" s="44">
        <v>45972</v>
      </c>
      <c r="O309" s="39">
        <v>4</v>
      </c>
      <c r="P309" s="39">
        <v>2</v>
      </c>
      <c r="Q309" s="39">
        <v>4</v>
      </c>
      <c r="R309" s="39">
        <v>9</v>
      </c>
      <c r="S309" s="51" t="str">
        <f t="shared" si="23"/>
        <v>Promoter</v>
      </c>
    </row>
    <row r="310" ht="14.25" customHeight="1" spans="1:19">
      <c r="A310" s="43" t="s">
        <v>352</v>
      </c>
      <c r="B310" s="43" t="s">
        <v>14</v>
      </c>
      <c r="C310" s="43" t="s">
        <v>22</v>
      </c>
      <c r="D310" s="44">
        <v>45931</v>
      </c>
      <c r="E310" s="44">
        <v>45936</v>
      </c>
      <c r="F310" s="44">
        <v>45938</v>
      </c>
      <c r="G310" s="44">
        <v>45942</v>
      </c>
      <c r="H310" s="45" t="str">
        <f t="shared" si="24"/>
        <v>Delivered</v>
      </c>
      <c r="I310" s="48">
        <f t="shared" si="20"/>
        <v>5</v>
      </c>
      <c r="J310" s="48">
        <f t="shared" si="21"/>
        <v>2</v>
      </c>
      <c r="K310" s="48">
        <f t="shared" si="22"/>
        <v>4</v>
      </c>
      <c r="L310" s="39" t="s">
        <v>9</v>
      </c>
      <c r="N310" s="44">
        <v>45969</v>
      </c>
      <c r="O310" s="39">
        <v>5</v>
      </c>
      <c r="P310" s="39">
        <v>2</v>
      </c>
      <c r="Q310" s="39">
        <v>4</v>
      </c>
      <c r="R310" s="39">
        <v>6</v>
      </c>
      <c r="S310" s="51" t="str">
        <f t="shared" si="23"/>
        <v>Detractor</v>
      </c>
    </row>
    <row r="311" ht="14.25" customHeight="1" spans="1:19">
      <c r="A311" s="43" t="s">
        <v>353</v>
      </c>
      <c r="B311" s="43" t="s">
        <v>12</v>
      </c>
      <c r="C311" s="43" t="s">
        <v>22</v>
      </c>
      <c r="D311" s="44">
        <v>45933</v>
      </c>
      <c r="E311" s="44">
        <v>45935</v>
      </c>
      <c r="F311" s="44">
        <v>45938</v>
      </c>
      <c r="G311" s="44">
        <v>45942</v>
      </c>
      <c r="H311" s="45" t="str">
        <f t="shared" si="24"/>
        <v>Delivered</v>
      </c>
      <c r="I311" s="48">
        <f t="shared" si="20"/>
        <v>2</v>
      </c>
      <c r="J311" s="48">
        <f t="shared" si="21"/>
        <v>3</v>
      </c>
      <c r="K311" s="48">
        <f t="shared" si="22"/>
        <v>4</v>
      </c>
      <c r="L311" s="39" t="s">
        <v>9</v>
      </c>
      <c r="N311" s="44">
        <v>45967</v>
      </c>
      <c r="O311" s="39">
        <v>2</v>
      </c>
      <c r="P311" s="39">
        <v>3</v>
      </c>
      <c r="Q311" s="39">
        <v>4</v>
      </c>
      <c r="R311" s="39">
        <v>5</v>
      </c>
      <c r="S311" s="51" t="str">
        <f t="shared" si="23"/>
        <v>Detractor</v>
      </c>
    </row>
    <row r="312" ht="14.25" customHeight="1" spans="1:19">
      <c r="A312" s="43" t="s">
        <v>354</v>
      </c>
      <c r="B312" s="43" t="s">
        <v>14</v>
      </c>
      <c r="C312" s="43" t="s">
        <v>21</v>
      </c>
      <c r="D312" s="44">
        <v>45938</v>
      </c>
      <c r="E312" s="44">
        <v>45939</v>
      </c>
      <c r="F312" s="44">
        <v>45944</v>
      </c>
      <c r="G312" s="44">
        <v>45948</v>
      </c>
      <c r="H312" s="45" t="str">
        <f t="shared" si="24"/>
        <v>Delivered</v>
      </c>
      <c r="I312" s="48">
        <f t="shared" si="20"/>
        <v>1</v>
      </c>
      <c r="J312" s="48">
        <f t="shared" si="21"/>
        <v>5</v>
      </c>
      <c r="K312" s="48">
        <f t="shared" si="22"/>
        <v>4</v>
      </c>
      <c r="L312" s="39" t="s">
        <v>9</v>
      </c>
      <c r="N312" s="44">
        <v>45976</v>
      </c>
      <c r="O312" s="39">
        <v>1</v>
      </c>
      <c r="P312" s="39">
        <v>5</v>
      </c>
      <c r="Q312" s="39">
        <v>4</v>
      </c>
      <c r="R312" s="39">
        <v>3</v>
      </c>
      <c r="S312" s="51" t="str">
        <f t="shared" si="23"/>
        <v>Detractor</v>
      </c>
    </row>
    <row r="313" ht="14.25" customHeight="1" spans="1:19">
      <c r="A313" s="43" t="s">
        <v>355</v>
      </c>
      <c r="B313" s="43" t="s">
        <v>11</v>
      </c>
      <c r="C313" s="43" t="s">
        <v>21</v>
      </c>
      <c r="D313" s="44">
        <v>45961</v>
      </c>
      <c r="E313" s="44">
        <v>45965</v>
      </c>
      <c r="F313" s="44">
        <v>45969</v>
      </c>
      <c r="G313" s="44">
        <v>45975</v>
      </c>
      <c r="H313" s="45" t="str">
        <f t="shared" si="24"/>
        <v>Delivered</v>
      </c>
      <c r="I313" s="48">
        <f t="shared" si="20"/>
        <v>4</v>
      </c>
      <c r="J313" s="48">
        <f t="shared" si="21"/>
        <v>4</v>
      </c>
      <c r="K313" s="48">
        <f t="shared" si="22"/>
        <v>6</v>
      </c>
      <c r="L313" s="39" t="s">
        <v>9</v>
      </c>
      <c r="N313" s="44">
        <v>45992</v>
      </c>
      <c r="O313" s="39">
        <v>4</v>
      </c>
      <c r="P313" s="39">
        <v>4</v>
      </c>
      <c r="Q313" s="39">
        <v>6</v>
      </c>
      <c r="R313" s="39">
        <v>6</v>
      </c>
      <c r="S313" s="51" t="str">
        <f t="shared" si="23"/>
        <v>Detractor</v>
      </c>
    </row>
    <row r="314" ht="14.25" customHeight="1" spans="1:19">
      <c r="A314" s="43" t="s">
        <v>356</v>
      </c>
      <c r="B314" s="43" t="s">
        <v>13</v>
      </c>
      <c r="C314" s="43" t="s">
        <v>22</v>
      </c>
      <c r="D314" s="44">
        <v>45952</v>
      </c>
      <c r="E314" s="44">
        <v>45953</v>
      </c>
      <c r="F314" s="44">
        <v>45954</v>
      </c>
      <c r="G314" s="44">
        <v>45960</v>
      </c>
      <c r="H314" s="45" t="str">
        <f t="shared" si="24"/>
        <v>Delivered</v>
      </c>
      <c r="I314" s="48">
        <f t="shared" si="20"/>
        <v>1</v>
      </c>
      <c r="J314" s="48">
        <f t="shared" si="21"/>
        <v>1</v>
      </c>
      <c r="K314" s="48">
        <f t="shared" si="22"/>
        <v>6</v>
      </c>
      <c r="L314" s="39" t="s">
        <v>9</v>
      </c>
      <c r="N314" s="44">
        <v>45985</v>
      </c>
      <c r="O314" s="39">
        <v>1</v>
      </c>
      <c r="P314" s="39">
        <v>1</v>
      </c>
      <c r="Q314" s="39">
        <v>6</v>
      </c>
      <c r="R314" s="39">
        <v>6</v>
      </c>
      <c r="S314" s="51" t="str">
        <f t="shared" si="23"/>
        <v>Detractor</v>
      </c>
    </row>
    <row r="315" ht="14.25" customHeight="1" spans="1:19">
      <c r="A315" s="43" t="s">
        <v>357</v>
      </c>
      <c r="B315" s="43" t="s">
        <v>11</v>
      </c>
      <c r="C315" s="43" t="s">
        <v>22</v>
      </c>
      <c r="D315" s="44">
        <v>45957</v>
      </c>
      <c r="E315" s="44">
        <v>45960</v>
      </c>
      <c r="F315" s="44">
        <v>45962</v>
      </c>
      <c r="G315" s="44">
        <v>45965</v>
      </c>
      <c r="H315" s="45" t="str">
        <f t="shared" si="24"/>
        <v>Delivered</v>
      </c>
      <c r="I315" s="48">
        <f t="shared" si="20"/>
        <v>3</v>
      </c>
      <c r="J315" s="48">
        <f t="shared" si="21"/>
        <v>2</v>
      </c>
      <c r="K315" s="48">
        <f t="shared" si="22"/>
        <v>3</v>
      </c>
      <c r="L315" s="39" t="s">
        <v>9</v>
      </c>
      <c r="N315" s="44">
        <v>45984</v>
      </c>
      <c r="O315" s="39">
        <v>3</v>
      </c>
      <c r="P315" s="39">
        <v>2</v>
      </c>
      <c r="Q315" s="39">
        <v>3</v>
      </c>
      <c r="R315" s="39">
        <v>6</v>
      </c>
      <c r="S315" s="51" t="str">
        <f t="shared" si="23"/>
        <v>Detractor</v>
      </c>
    </row>
    <row r="316" ht="14.25" customHeight="1" spans="1:19">
      <c r="A316" s="43" t="s">
        <v>358</v>
      </c>
      <c r="B316" s="43" t="s">
        <v>11</v>
      </c>
      <c r="C316" s="43" t="s">
        <v>22</v>
      </c>
      <c r="D316" s="44">
        <v>45958</v>
      </c>
      <c r="E316" s="44">
        <v>45959</v>
      </c>
      <c r="F316" s="44">
        <v>45964</v>
      </c>
      <c r="G316" s="44">
        <v>45970</v>
      </c>
      <c r="H316" s="45" t="str">
        <f t="shared" si="24"/>
        <v>Delivered</v>
      </c>
      <c r="I316" s="48">
        <f t="shared" si="20"/>
        <v>1</v>
      </c>
      <c r="J316" s="48">
        <f t="shared" si="21"/>
        <v>5</v>
      </c>
      <c r="K316" s="48">
        <f t="shared" si="22"/>
        <v>6</v>
      </c>
      <c r="L316" s="39" t="s">
        <v>9</v>
      </c>
      <c r="N316" s="44">
        <v>45982</v>
      </c>
      <c r="O316" s="39">
        <v>1</v>
      </c>
      <c r="P316" s="39">
        <v>5</v>
      </c>
      <c r="Q316" s="39">
        <v>6</v>
      </c>
      <c r="R316" s="39">
        <v>4</v>
      </c>
      <c r="S316" s="51" t="str">
        <f t="shared" si="23"/>
        <v>Detractor</v>
      </c>
    </row>
    <row r="317" ht="14.25" customHeight="1" spans="1:19">
      <c r="A317" s="43" t="s">
        <v>359</v>
      </c>
      <c r="B317" s="43" t="s">
        <v>11</v>
      </c>
      <c r="C317" s="43" t="s">
        <v>22</v>
      </c>
      <c r="D317" s="44">
        <v>45949</v>
      </c>
      <c r="E317" s="44">
        <v>45954</v>
      </c>
      <c r="F317" s="44">
        <v>45958</v>
      </c>
      <c r="G317" s="44">
        <v>45963</v>
      </c>
      <c r="H317" s="45" t="str">
        <f t="shared" si="24"/>
        <v>Delivered</v>
      </c>
      <c r="I317" s="48">
        <f t="shared" si="20"/>
        <v>5</v>
      </c>
      <c r="J317" s="48">
        <f t="shared" si="21"/>
        <v>4</v>
      </c>
      <c r="K317" s="48">
        <f t="shared" si="22"/>
        <v>5</v>
      </c>
      <c r="L317" s="39" t="s">
        <v>9</v>
      </c>
      <c r="N317" s="44">
        <v>45985</v>
      </c>
      <c r="O317" s="39">
        <v>5</v>
      </c>
      <c r="P317" s="39">
        <v>4</v>
      </c>
      <c r="Q317" s="39">
        <v>5</v>
      </c>
      <c r="R317" s="39">
        <v>5</v>
      </c>
      <c r="S317" s="51" t="str">
        <f t="shared" si="23"/>
        <v>Detractor</v>
      </c>
    </row>
    <row r="318" ht="14.25" customHeight="1" spans="1:19">
      <c r="A318" s="43" t="s">
        <v>360</v>
      </c>
      <c r="B318" s="43" t="s">
        <v>11</v>
      </c>
      <c r="C318" s="43" t="s">
        <v>22</v>
      </c>
      <c r="D318" s="44">
        <v>45949</v>
      </c>
      <c r="E318" s="44">
        <v>45951</v>
      </c>
      <c r="F318" s="44">
        <v>45952</v>
      </c>
      <c r="G318" s="44">
        <v>45956</v>
      </c>
      <c r="H318" s="45" t="str">
        <f t="shared" si="24"/>
        <v>Delivered</v>
      </c>
      <c r="I318" s="48">
        <f t="shared" si="20"/>
        <v>2</v>
      </c>
      <c r="J318" s="48">
        <f t="shared" si="21"/>
        <v>1</v>
      </c>
      <c r="K318" s="48">
        <f t="shared" si="22"/>
        <v>4</v>
      </c>
      <c r="L318" s="39" t="s">
        <v>9</v>
      </c>
      <c r="N318" s="44">
        <v>45967</v>
      </c>
      <c r="O318" s="39">
        <v>2</v>
      </c>
      <c r="P318" s="39">
        <v>1</v>
      </c>
      <c r="Q318" s="39">
        <v>4</v>
      </c>
      <c r="R318" s="39">
        <v>9</v>
      </c>
      <c r="S318" s="51" t="str">
        <f t="shared" si="23"/>
        <v>Promoter</v>
      </c>
    </row>
    <row r="319" ht="14.25" customHeight="1" spans="1:19">
      <c r="A319" s="43" t="s">
        <v>361</v>
      </c>
      <c r="B319" s="43" t="s">
        <v>13</v>
      </c>
      <c r="C319" s="43" t="s">
        <v>22</v>
      </c>
      <c r="D319" s="44">
        <v>45961</v>
      </c>
      <c r="E319" s="44">
        <v>45962</v>
      </c>
      <c r="F319" s="44">
        <v>45967</v>
      </c>
      <c r="G319" s="44">
        <v>45974</v>
      </c>
      <c r="H319" s="45" t="str">
        <f t="shared" si="24"/>
        <v>Delivered</v>
      </c>
      <c r="I319" s="48">
        <f t="shared" si="20"/>
        <v>1</v>
      </c>
      <c r="J319" s="48">
        <f t="shared" si="21"/>
        <v>5</v>
      </c>
      <c r="K319" s="48">
        <f t="shared" si="22"/>
        <v>7</v>
      </c>
      <c r="L319" s="39" t="s">
        <v>10</v>
      </c>
      <c r="M319" s="39" t="s">
        <v>79</v>
      </c>
      <c r="O319" s="39">
        <v>1</v>
      </c>
      <c r="P319" s="39">
        <v>5</v>
      </c>
      <c r="Q319" s="39">
        <v>7</v>
      </c>
      <c r="S319" s="51" t="str">
        <f t="shared" si="23"/>
        <v>Detractor</v>
      </c>
    </row>
    <row r="320" ht="14.25" customHeight="1" spans="1:19">
      <c r="A320" s="43" t="s">
        <v>362</v>
      </c>
      <c r="B320" s="43" t="s">
        <v>11</v>
      </c>
      <c r="C320" s="43" t="s">
        <v>22</v>
      </c>
      <c r="D320" s="44">
        <v>45931</v>
      </c>
      <c r="E320" s="44">
        <v>45933</v>
      </c>
      <c r="F320" s="44">
        <v>45937</v>
      </c>
      <c r="G320" s="44">
        <v>45939</v>
      </c>
      <c r="H320" s="45" t="str">
        <f t="shared" si="24"/>
        <v>Delivered</v>
      </c>
      <c r="I320" s="48">
        <f t="shared" si="20"/>
        <v>2</v>
      </c>
      <c r="J320" s="48">
        <f t="shared" si="21"/>
        <v>4</v>
      </c>
      <c r="K320" s="48">
        <f t="shared" si="22"/>
        <v>2</v>
      </c>
      <c r="L320" s="39" t="s">
        <v>9</v>
      </c>
      <c r="N320" s="44">
        <v>45965</v>
      </c>
      <c r="O320" s="39">
        <v>2</v>
      </c>
      <c r="P320" s="39">
        <v>4</v>
      </c>
      <c r="Q320" s="39">
        <v>2</v>
      </c>
      <c r="R320" s="39">
        <v>6</v>
      </c>
      <c r="S320" s="51" t="str">
        <f t="shared" si="23"/>
        <v>Detractor</v>
      </c>
    </row>
    <row r="321" ht="14.25" customHeight="1" spans="1:19">
      <c r="A321" s="43" t="s">
        <v>363</v>
      </c>
      <c r="B321" s="43" t="s">
        <v>13</v>
      </c>
      <c r="C321" s="43" t="s">
        <v>22</v>
      </c>
      <c r="D321" s="44">
        <v>45955</v>
      </c>
      <c r="E321" s="44">
        <v>45959</v>
      </c>
      <c r="F321" s="44">
        <v>45960</v>
      </c>
      <c r="G321" s="44">
        <v>45962</v>
      </c>
      <c r="H321" s="45" t="str">
        <f t="shared" si="24"/>
        <v>Delivered</v>
      </c>
      <c r="I321" s="48">
        <f t="shared" si="20"/>
        <v>4</v>
      </c>
      <c r="J321" s="48">
        <f t="shared" si="21"/>
        <v>1</v>
      </c>
      <c r="K321" s="48">
        <f t="shared" si="22"/>
        <v>2</v>
      </c>
      <c r="L321" s="39" t="s">
        <v>10</v>
      </c>
      <c r="M321" s="39" t="s">
        <v>49</v>
      </c>
      <c r="O321" s="39">
        <v>4</v>
      </c>
      <c r="P321" s="39">
        <v>1</v>
      </c>
      <c r="Q321" s="39">
        <v>2</v>
      </c>
      <c r="S321" s="51" t="str">
        <f t="shared" si="23"/>
        <v>Detractor</v>
      </c>
    </row>
    <row r="322" ht="14.25" customHeight="1" spans="1:19">
      <c r="A322" s="43" t="s">
        <v>364</v>
      </c>
      <c r="B322" s="43" t="s">
        <v>13</v>
      </c>
      <c r="C322" s="43" t="s">
        <v>22</v>
      </c>
      <c r="D322" s="44">
        <v>45952</v>
      </c>
      <c r="E322" s="44">
        <v>45956</v>
      </c>
      <c r="F322" s="44">
        <v>45960</v>
      </c>
      <c r="G322" s="44">
        <v>45962</v>
      </c>
      <c r="H322" s="45" t="str">
        <f t="shared" si="24"/>
        <v>Delivered</v>
      </c>
      <c r="I322" s="48">
        <f t="shared" si="20"/>
        <v>4</v>
      </c>
      <c r="J322" s="48">
        <f t="shared" si="21"/>
        <v>4</v>
      </c>
      <c r="K322" s="48">
        <f t="shared" si="22"/>
        <v>2</v>
      </c>
      <c r="L322" s="39" t="s">
        <v>9</v>
      </c>
      <c r="N322" s="44">
        <v>45990</v>
      </c>
      <c r="O322" s="39">
        <v>4</v>
      </c>
      <c r="P322" s="39">
        <v>4</v>
      </c>
      <c r="Q322" s="39">
        <v>2</v>
      </c>
      <c r="R322" s="39">
        <v>4</v>
      </c>
      <c r="S322" s="51" t="str">
        <f t="shared" si="23"/>
        <v>Detractor</v>
      </c>
    </row>
    <row r="323" ht="14.25" customHeight="1" spans="1:19">
      <c r="A323" s="43" t="s">
        <v>365</v>
      </c>
      <c r="B323" s="43" t="s">
        <v>14</v>
      </c>
      <c r="C323" s="43" t="s">
        <v>20</v>
      </c>
      <c r="D323" s="44">
        <v>45957</v>
      </c>
      <c r="H323" s="45" t="str">
        <f t="shared" si="24"/>
        <v>Cancelled</v>
      </c>
      <c r="I323" s="48">
        <f t="shared" ref="I323:I386" si="25">IF(E323&gt;D323,E323-D323,0)</f>
        <v>0</v>
      </c>
      <c r="J323" s="48">
        <f t="shared" ref="J323:J386" si="26">IF(F323&gt;E323,F323-E323,0)</f>
        <v>0</v>
      </c>
      <c r="K323" s="48">
        <f t="shared" ref="K323:K386" si="27">IF(G323&gt;F323,G323-F323,0)</f>
        <v>0</v>
      </c>
      <c r="L323" s="39" t="s">
        <v>10</v>
      </c>
      <c r="M323" s="39" t="s">
        <v>44</v>
      </c>
      <c r="S323" s="51" t="str">
        <f t="shared" ref="S323:S386" si="28">IF(R323&gt;=9,"Promoter",IF(R323&gt;=7,"Passive","Detractor"))</f>
        <v>Detractor</v>
      </c>
    </row>
    <row r="324" ht="14.25" customHeight="1" spans="1:19">
      <c r="A324" s="43" t="s">
        <v>366</v>
      </c>
      <c r="B324" s="43" t="s">
        <v>12</v>
      </c>
      <c r="C324" s="43" t="s">
        <v>22</v>
      </c>
      <c r="D324" s="44">
        <v>45939</v>
      </c>
      <c r="E324" s="44">
        <v>45944</v>
      </c>
      <c r="F324" s="44">
        <v>45946</v>
      </c>
      <c r="G324" s="44">
        <v>45953</v>
      </c>
      <c r="H324" s="45" t="str">
        <f t="shared" si="24"/>
        <v>Delivered</v>
      </c>
      <c r="I324" s="48">
        <f t="shared" si="25"/>
        <v>5</v>
      </c>
      <c r="J324" s="48">
        <f t="shared" si="26"/>
        <v>2</v>
      </c>
      <c r="K324" s="48">
        <f t="shared" si="27"/>
        <v>7</v>
      </c>
      <c r="L324" s="39" t="s">
        <v>10</v>
      </c>
      <c r="M324" s="39" t="s">
        <v>79</v>
      </c>
      <c r="O324" s="39">
        <v>5</v>
      </c>
      <c r="P324" s="39">
        <v>2</v>
      </c>
      <c r="Q324" s="39">
        <v>7</v>
      </c>
      <c r="S324" s="51" t="str">
        <f t="shared" si="28"/>
        <v>Detractor</v>
      </c>
    </row>
    <row r="325" ht="14.25" customHeight="1" spans="1:19">
      <c r="A325" s="43" t="s">
        <v>367</v>
      </c>
      <c r="B325" s="43" t="s">
        <v>12</v>
      </c>
      <c r="C325" s="43" t="s">
        <v>21</v>
      </c>
      <c r="D325" s="44">
        <v>45949</v>
      </c>
      <c r="E325" s="44">
        <v>45954</v>
      </c>
      <c r="F325" s="44">
        <v>45959</v>
      </c>
      <c r="G325" s="44">
        <v>45964</v>
      </c>
      <c r="H325" s="45" t="str">
        <f t="shared" ref="H325:H388" si="29">IF(G325&lt;&gt;"","Delivered",IF(F325&lt;&gt;"","Booked",IF(E325&lt;&gt;"","Pre-Booked",IF(D325&lt;&gt;"","Cancelled",""))))</f>
        <v>Delivered</v>
      </c>
      <c r="I325" s="48">
        <f t="shared" si="25"/>
        <v>5</v>
      </c>
      <c r="J325" s="48">
        <f t="shared" si="26"/>
        <v>5</v>
      </c>
      <c r="K325" s="48">
        <f t="shared" si="27"/>
        <v>5</v>
      </c>
      <c r="L325" s="39" t="s">
        <v>9</v>
      </c>
      <c r="N325" s="44">
        <v>45990</v>
      </c>
      <c r="O325" s="39">
        <v>5</v>
      </c>
      <c r="P325" s="39">
        <v>5</v>
      </c>
      <c r="Q325" s="39">
        <v>5</v>
      </c>
      <c r="R325" s="39">
        <v>2</v>
      </c>
      <c r="S325" s="51" t="str">
        <f t="shared" si="28"/>
        <v>Detractor</v>
      </c>
    </row>
    <row r="326" ht="14.25" customHeight="1" spans="1:19">
      <c r="A326" s="43" t="s">
        <v>368</v>
      </c>
      <c r="B326" s="43" t="s">
        <v>13</v>
      </c>
      <c r="C326" s="43" t="s">
        <v>21</v>
      </c>
      <c r="D326" s="44">
        <v>45932</v>
      </c>
      <c r="E326" s="44">
        <v>45937</v>
      </c>
      <c r="F326" s="44">
        <v>45941</v>
      </c>
      <c r="G326" s="44">
        <v>45943</v>
      </c>
      <c r="H326" s="45" t="str">
        <f t="shared" si="29"/>
        <v>Delivered</v>
      </c>
      <c r="I326" s="48">
        <f t="shared" si="25"/>
        <v>5</v>
      </c>
      <c r="J326" s="48">
        <f t="shared" si="26"/>
        <v>4</v>
      </c>
      <c r="K326" s="48">
        <f t="shared" si="27"/>
        <v>2</v>
      </c>
      <c r="L326" s="39" t="s">
        <v>10</v>
      </c>
      <c r="M326" s="39" t="s">
        <v>42</v>
      </c>
      <c r="O326" s="39">
        <v>5</v>
      </c>
      <c r="P326" s="39">
        <v>4</v>
      </c>
      <c r="Q326" s="39">
        <v>2</v>
      </c>
      <c r="S326" s="51" t="str">
        <f t="shared" si="28"/>
        <v>Detractor</v>
      </c>
    </row>
    <row r="327" ht="14.25" customHeight="1" spans="1:19">
      <c r="A327" s="43" t="s">
        <v>369</v>
      </c>
      <c r="B327" s="43" t="s">
        <v>14</v>
      </c>
      <c r="C327" s="43" t="s">
        <v>21</v>
      </c>
      <c r="D327" s="44">
        <v>45955</v>
      </c>
      <c r="E327" s="44">
        <v>45957</v>
      </c>
      <c r="F327" s="44">
        <v>45961</v>
      </c>
      <c r="G327" s="44">
        <v>45963</v>
      </c>
      <c r="H327" s="45" t="str">
        <f t="shared" si="29"/>
        <v>Delivered</v>
      </c>
      <c r="I327" s="48">
        <f t="shared" si="25"/>
        <v>2</v>
      </c>
      <c r="J327" s="48">
        <f t="shared" si="26"/>
        <v>4</v>
      </c>
      <c r="K327" s="48">
        <f t="shared" si="27"/>
        <v>2</v>
      </c>
      <c r="L327" s="39" t="s">
        <v>9</v>
      </c>
      <c r="N327" s="44">
        <v>45991</v>
      </c>
      <c r="O327" s="39">
        <v>2</v>
      </c>
      <c r="P327" s="39">
        <v>4</v>
      </c>
      <c r="Q327" s="39">
        <v>2</v>
      </c>
      <c r="R327" s="39">
        <v>10</v>
      </c>
      <c r="S327" s="51" t="str">
        <f t="shared" si="28"/>
        <v>Promoter</v>
      </c>
    </row>
    <row r="328" ht="14.25" customHeight="1" spans="1:19">
      <c r="A328" s="43" t="s">
        <v>370</v>
      </c>
      <c r="B328" s="43" t="s">
        <v>13</v>
      </c>
      <c r="C328" s="43" t="s">
        <v>22</v>
      </c>
      <c r="D328" s="44">
        <v>45955</v>
      </c>
      <c r="E328" s="44">
        <v>45958</v>
      </c>
      <c r="F328" s="44">
        <v>45963</v>
      </c>
      <c r="G328" s="44">
        <v>45966</v>
      </c>
      <c r="H328" s="45" t="str">
        <f t="shared" si="29"/>
        <v>Delivered</v>
      </c>
      <c r="I328" s="48">
        <f t="shared" si="25"/>
        <v>3</v>
      </c>
      <c r="J328" s="48">
        <f t="shared" si="26"/>
        <v>5</v>
      </c>
      <c r="K328" s="48">
        <f t="shared" si="27"/>
        <v>3</v>
      </c>
      <c r="L328" s="39" t="s">
        <v>9</v>
      </c>
      <c r="N328" s="44">
        <v>45995</v>
      </c>
      <c r="O328" s="39">
        <v>3</v>
      </c>
      <c r="P328" s="39">
        <v>5</v>
      </c>
      <c r="Q328" s="39">
        <v>3</v>
      </c>
      <c r="R328" s="39">
        <v>6</v>
      </c>
      <c r="S328" s="51" t="str">
        <f t="shared" si="28"/>
        <v>Detractor</v>
      </c>
    </row>
    <row r="329" ht="14.25" customHeight="1" spans="1:19">
      <c r="A329" s="43" t="s">
        <v>371</v>
      </c>
      <c r="B329" s="43" t="s">
        <v>13</v>
      </c>
      <c r="C329" s="43" t="s">
        <v>22</v>
      </c>
      <c r="D329" s="44">
        <v>45936</v>
      </c>
      <c r="E329" s="44">
        <v>45939</v>
      </c>
      <c r="F329" s="44">
        <v>45940</v>
      </c>
      <c r="G329" s="44">
        <v>45945</v>
      </c>
      <c r="H329" s="45" t="str">
        <f t="shared" si="29"/>
        <v>Delivered</v>
      </c>
      <c r="I329" s="48">
        <f t="shared" si="25"/>
        <v>3</v>
      </c>
      <c r="J329" s="48">
        <f t="shared" si="26"/>
        <v>1</v>
      </c>
      <c r="K329" s="48">
        <f t="shared" si="27"/>
        <v>5</v>
      </c>
      <c r="L329" s="39" t="s">
        <v>9</v>
      </c>
      <c r="N329" s="44">
        <v>45959</v>
      </c>
      <c r="O329" s="39">
        <v>3</v>
      </c>
      <c r="P329" s="39">
        <v>1</v>
      </c>
      <c r="Q329" s="39">
        <v>5</v>
      </c>
      <c r="R329" s="39">
        <v>7</v>
      </c>
      <c r="S329" s="51" t="str">
        <f t="shared" si="28"/>
        <v>Passive</v>
      </c>
    </row>
    <row r="330" ht="14.25" customHeight="1" spans="1:19">
      <c r="A330" s="43" t="s">
        <v>372</v>
      </c>
      <c r="B330" s="43" t="s">
        <v>13</v>
      </c>
      <c r="C330" s="43" t="s">
        <v>22</v>
      </c>
      <c r="D330" s="44">
        <v>45946</v>
      </c>
      <c r="E330" s="44">
        <v>45949</v>
      </c>
      <c r="F330" s="44">
        <v>45954</v>
      </c>
      <c r="G330" s="44">
        <v>45959</v>
      </c>
      <c r="H330" s="45" t="str">
        <f t="shared" si="29"/>
        <v>Delivered</v>
      </c>
      <c r="I330" s="48">
        <f t="shared" si="25"/>
        <v>3</v>
      </c>
      <c r="J330" s="48">
        <f t="shared" si="26"/>
        <v>5</v>
      </c>
      <c r="K330" s="48">
        <f t="shared" si="27"/>
        <v>5</v>
      </c>
      <c r="L330" s="39" t="s">
        <v>9</v>
      </c>
      <c r="N330" s="44">
        <v>45972</v>
      </c>
      <c r="O330" s="39">
        <v>3</v>
      </c>
      <c r="P330" s="39">
        <v>5</v>
      </c>
      <c r="Q330" s="39">
        <v>5</v>
      </c>
      <c r="R330" s="39">
        <v>3</v>
      </c>
      <c r="S330" s="51" t="str">
        <f t="shared" si="28"/>
        <v>Detractor</v>
      </c>
    </row>
    <row r="331" ht="14.25" customHeight="1" spans="1:19">
      <c r="A331" s="43" t="s">
        <v>373</v>
      </c>
      <c r="B331" s="43" t="s">
        <v>14</v>
      </c>
      <c r="C331" s="43" t="s">
        <v>22</v>
      </c>
      <c r="D331" s="44">
        <v>45947</v>
      </c>
      <c r="E331" s="44">
        <v>45951</v>
      </c>
      <c r="F331" s="44">
        <v>45955</v>
      </c>
      <c r="G331" s="44">
        <v>45957</v>
      </c>
      <c r="H331" s="45" t="str">
        <f t="shared" si="29"/>
        <v>Delivered</v>
      </c>
      <c r="I331" s="48">
        <f t="shared" si="25"/>
        <v>4</v>
      </c>
      <c r="J331" s="48">
        <f t="shared" si="26"/>
        <v>4</v>
      </c>
      <c r="K331" s="48">
        <f t="shared" si="27"/>
        <v>2</v>
      </c>
      <c r="L331" s="39" t="s">
        <v>9</v>
      </c>
      <c r="N331" s="44">
        <v>45981</v>
      </c>
      <c r="O331" s="39">
        <v>4</v>
      </c>
      <c r="P331" s="39">
        <v>4</v>
      </c>
      <c r="Q331" s="39">
        <v>2</v>
      </c>
      <c r="R331" s="39">
        <v>2</v>
      </c>
      <c r="S331" s="51" t="str">
        <f t="shared" si="28"/>
        <v>Detractor</v>
      </c>
    </row>
    <row r="332" ht="14.25" customHeight="1" spans="1:19">
      <c r="A332" s="43" t="s">
        <v>374</v>
      </c>
      <c r="B332" s="43" t="s">
        <v>12</v>
      </c>
      <c r="C332" s="43" t="s">
        <v>21</v>
      </c>
      <c r="D332" s="44">
        <v>45951</v>
      </c>
      <c r="E332" s="44">
        <v>45955</v>
      </c>
      <c r="F332" s="44">
        <v>45958</v>
      </c>
      <c r="G332" s="44">
        <v>45963</v>
      </c>
      <c r="H332" s="45" t="str">
        <f t="shared" si="29"/>
        <v>Delivered</v>
      </c>
      <c r="I332" s="48">
        <f t="shared" si="25"/>
        <v>4</v>
      </c>
      <c r="J332" s="48">
        <f t="shared" si="26"/>
        <v>3</v>
      </c>
      <c r="K332" s="48">
        <f t="shared" si="27"/>
        <v>5</v>
      </c>
      <c r="L332" s="39" t="s">
        <v>9</v>
      </c>
      <c r="N332" s="44">
        <v>45978</v>
      </c>
      <c r="O332" s="39">
        <v>4</v>
      </c>
      <c r="P332" s="39">
        <v>3</v>
      </c>
      <c r="Q332" s="39">
        <v>5</v>
      </c>
      <c r="R332" s="39">
        <v>1</v>
      </c>
      <c r="S332" s="51" t="str">
        <f t="shared" si="28"/>
        <v>Detractor</v>
      </c>
    </row>
    <row r="333" ht="14.25" customHeight="1" spans="1:19">
      <c r="A333" s="43" t="s">
        <v>375</v>
      </c>
      <c r="B333" s="43" t="s">
        <v>14</v>
      </c>
      <c r="C333" s="43" t="s">
        <v>22</v>
      </c>
      <c r="D333" s="44">
        <v>45945</v>
      </c>
      <c r="E333" s="44">
        <v>45948</v>
      </c>
      <c r="F333" s="44">
        <v>45949</v>
      </c>
      <c r="G333" s="44">
        <v>45952</v>
      </c>
      <c r="H333" s="45" t="str">
        <f t="shared" si="29"/>
        <v>Delivered</v>
      </c>
      <c r="I333" s="48">
        <f t="shared" si="25"/>
        <v>3</v>
      </c>
      <c r="J333" s="48">
        <f t="shared" si="26"/>
        <v>1</v>
      </c>
      <c r="K333" s="48">
        <f t="shared" si="27"/>
        <v>3</v>
      </c>
      <c r="L333" s="39" t="s">
        <v>9</v>
      </c>
      <c r="N333" s="44">
        <v>45967</v>
      </c>
      <c r="O333" s="39">
        <v>3</v>
      </c>
      <c r="P333" s="39">
        <v>1</v>
      </c>
      <c r="Q333" s="39">
        <v>3</v>
      </c>
      <c r="R333" s="39">
        <v>0</v>
      </c>
      <c r="S333" s="51" t="str">
        <f t="shared" si="28"/>
        <v>Detractor</v>
      </c>
    </row>
    <row r="334" ht="14.25" customHeight="1" spans="1:19">
      <c r="A334" s="43" t="s">
        <v>376</v>
      </c>
      <c r="B334" s="43" t="s">
        <v>11</v>
      </c>
      <c r="C334" s="43" t="s">
        <v>21</v>
      </c>
      <c r="D334" s="44">
        <v>45960</v>
      </c>
      <c r="E334" s="44">
        <v>45965</v>
      </c>
      <c r="F334" s="44">
        <v>45969</v>
      </c>
      <c r="G334" s="44">
        <v>45976</v>
      </c>
      <c r="H334" s="45" t="str">
        <f t="shared" si="29"/>
        <v>Delivered</v>
      </c>
      <c r="I334" s="48">
        <f t="shared" si="25"/>
        <v>5</v>
      </c>
      <c r="J334" s="48">
        <f t="shared" si="26"/>
        <v>4</v>
      </c>
      <c r="K334" s="48">
        <f t="shared" si="27"/>
        <v>7</v>
      </c>
      <c r="L334" s="39" t="s">
        <v>9</v>
      </c>
      <c r="N334" s="44">
        <v>45992</v>
      </c>
      <c r="O334" s="39">
        <v>5</v>
      </c>
      <c r="P334" s="39">
        <v>4</v>
      </c>
      <c r="Q334" s="39">
        <v>7</v>
      </c>
      <c r="R334" s="39">
        <v>2</v>
      </c>
      <c r="S334" s="51" t="str">
        <f t="shared" si="28"/>
        <v>Detractor</v>
      </c>
    </row>
    <row r="335" ht="14.25" customHeight="1" spans="1:19">
      <c r="A335" s="43" t="s">
        <v>377</v>
      </c>
      <c r="B335" s="43" t="s">
        <v>14</v>
      </c>
      <c r="C335" s="43" t="s">
        <v>22</v>
      </c>
      <c r="D335" s="44">
        <v>45939</v>
      </c>
      <c r="E335" s="44">
        <v>45940</v>
      </c>
      <c r="F335" s="44">
        <v>45943</v>
      </c>
      <c r="G335" s="44">
        <v>45946</v>
      </c>
      <c r="H335" s="45" t="str">
        <f t="shared" si="29"/>
        <v>Delivered</v>
      </c>
      <c r="I335" s="48">
        <f t="shared" si="25"/>
        <v>1</v>
      </c>
      <c r="J335" s="48">
        <f t="shared" si="26"/>
        <v>3</v>
      </c>
      <c r="K335" s="48">
        <f t="shared" si="27"/>
        <v>3</v>
      </c>
      <c r="L335" s="39" t="s">
        <v>9</v>
      </c>
      <c r="N335" s="44">
        <v>45962</v>
      </c>
      <c r="O335" s="39">
        <v>1</v>
      </c>
      <c r="P335" s="39">
        <v>3</v>
      </c>
      <c r="Q335" s="39">
        <v>3</v>
      </c>
      <c r="R335" s="39">
        <v>2</v>
      </c>
      <c r="S335" s="51" t="str">
        <f t="shared" si="28"/>
        <v>Detractor</v>
      </c>
    </row>
    <row r="336" ht="14.25" customHeight="1" spans="1:19">
      <c r="A336" s="43" t="s">
        <v>378</v>
      </c>
      <c r="B336" s="43" t="s">
        <v>14</v>
      </c>
      <c r="C336" s="43" t="s">
        <v>21</v>
      </c>
      <c r="D336" s="44">
        <v>45936</v>
      </c>
      <c r="E336" s="44">
        <v>45939</v>
      </c>
      <c r="F336" s="44">
        <v>45940</v>
      </c>
      <c r="G336" s="44">
        <v>45947</v>
      </c>
      <c r="H336" s="45" t="str">
        <f t="shared" si="29"/>
        <v>Delivered</v>
      </c>
      <c r="I336" s="48">
        <f t="shared" si="25"/>
        <v>3</v>
      </c>
      <c r="J336" s="48">
        <f t="shared" si="26"/>
        <v>1</v>
      </c>
      <c r="K336" s="48">
        <f t="shared" si="27"/>
        <v>7</v>
      </c>
      <c r="L336" s="39" t="s">
        <v>9</v>
      </c>
      <c r="N336" s="44">
        <v>45961</v>
      </c>
      <c r="O336" s="39">
        <v>3</v>
      </c>
      <c r="P336" s="39">
        <v>1</v>
      </c>
      <c r="Q336" s="39">
        <v>7</v>
      </c>
      <c r="R336" s="39">
        <v>1</v>
      </c>
      <c r="S336" s="51" t="str">
        <f t="shared" si="28"/>
        <v>Detractor</v>
      </c>
    </row>
    <row r="337" ht="14.25" customHeight="1" spans="1:19">
      <c r="A337" s="43" t="s">
        <v>379</v>
      </c>
      <c r="B337" s="43" t="s">
        <v>14</v>
      </c>
      <c r="C337" s="43" t="s">
        <v>20</v>
      </c>
      <c r="D337" s="44">
        <v>45949</v>
      </c>
      <c r="H337" s="45" t="str">
        <f t="shared" si="29"/>
        <v>Cancelled</v>
      </c>
      <c r="I337" s="48">
        <f t="shared" si="25"/>
        <v>0</v>
      </c>
      <c r="J337" s="48">
        <f t="shared" si="26"/>
        <v>0</v>
      </c>
      <c r="K337" s="48">
        <f t="shared" si="27"/>
        <v>0</v>
      </c>
      <c r="L337" s="39" t="s">
        <v>10</v>
      </c>
      <c r="M337" s="39" t="s">
        <v>117</v>
      </c>
      <c r="S337" s="51" t="str">
        <f t="shared" si="28"/>
        <v>Detractor</v>
      </c>
    </row>
    <row r="338" ht="14.25" customHeight="1" spans="1:19">
      <c r="A338" s="43" t="s">
        <v>380</v>
      </c>
      <c r="B338" s="43" t="s">
        <v>14</v>
      </c>
      <c r="C338" s="43" t="s">
        <v>21</v>
      </c>
      <c r="D338" s="44">
        <v>45944</v>
      </c>
      <c r="E338" s="44">
        <v>45945</v>
      </c>
      <c r="F338" s="44">
        <v>45947</v>
      </c>
      <c r="G338" s="44">
        <v>45951</v>
      </c>
      <c r="H338" s="45" t="str">
        <f t="shared" si="29"/>
        <v>Delivered</v>
      </c>
      <c r="I338" s="48">
        <f t="shared" si="25"/>
        <v>1</v>
      </c>
      <c r="J338" s="48">
        <f t="shared" si="26"/>
        <v>2</v>
      </c>
      <c r="K338" s="48">
        <f t="shared" si="27"/>
        <v>4</v>
      </c>
      <c r="L338" s="39" t="s">
        <v>9</v>
      </c>
      <c r="N338" s="44">
        <v>45962</v>
      </c>
      <c r="O338" s="39">
        <v>1</v>
      </c>
      <c r="P338" s="39">
        <v>2</v>
      </c>
      <c r="Q338" s="39">
        <v>4</v>
      </c>
      <c r="R338" s="39">
        <v>7</v>
      </c>
      <c r="S338" s="51" t="str">
        <f t="shared" si="28"/>
        <v>Passive</v>
      </c>
    </row>
    <row r="339" ht="14.25" customHeight="1" spans="1:19">
      <c r="A339" s="43" t="s">
        <v>381</v>
      </c>
      <c r="B339" s="43" t="s">
        <v>12</v>
      </c>
      <c r="C339" s="43" t="s">
        <v>20</v>
      </c>
      <c r="D339" s="44">
        <v>45951</v>
      </c>
      <c r="H339" s="45" t="str">
        <f t="shared" si="29"/>
        <v>Cancelled</v>
      </c>
      <c r="I339" s="48">
        <f t="shared" si="25"/>
        <v>0</v>
      </c>
      <c r="J339" s="48">
        <f t="shared" si="26"/>
        <v>0</v>
      </c>
      <c r="K339" s="48">
        <f t="shared" si="27"/>
        <v>0</v>
      </c>
      <c r="L339" s="39" t="s">
        <v>10</v>
      </c>
      <c r="M339" s="39" t="s">
        <v>79</v>
      </c>
      <c r="S339" s="51" t="str">
        <f t="shared" si="28"/>
        <v>Detractor</v>
      </c>
    </row>
    <row r="340" ht="14.25" customHeight="1" spans="1:19">
      <c r="A340" s="43" t="s">
        <v>382</v>
      </c>
      <c r="B340" s="43" t="s">
        <v>11</v>
      </c>
      <c r="C340" s="43" t="s">
        <v>22</v>
      </c>
      <c r="D340" s="44">
        <v>45957</v>
      </c>
      <c r="E340" s="44">
        <v>45960</v>
      </c>
      <c r="F340" s="44">
        <v>45965</v>
      </c>
      <c r="G340" s="44">
        <v>45968</v>
      </c>
      <c r="H340" s="45" t="str">
        <f t="shared" si="29"/>
        <v>Delivered</v>
      </c>
      <c r="I340" s="48">
        <f t="shared" si="25"/>
        <v>3</v>
      </c>
      <c r="J340" s="48">
        <f t="shared" si="26"/>
        <v>5</v>
      </c>
      <c r="K340" s="48">
        <f t="shared" si="27"/>
        <v>3</v>
      </c>
      <c r="L340" s="39" t="s">
        <v>9</v>
      </c>
      <c r="N340" s="44">
        <v>45991</v>
      </c>
      <c r="O340" s="39">
        <v>3</v>
      </c>
      <c r="P340" s="39">
        <v>5</v>
      </c>
      <c r="Q340" s="39">
        <v>3</v>
      </c>
      <c r="R340" s="39">
        <v>3</v>
      </c>
      <c r="S340" s="51" t="str">
        <f t="shared" si="28"/>
        <v>Detractor</v>
      </c>
    </row>
    <row r="341" ht="14.25" customHeight="1" spans="1:19">
      <c r="A341" s="43" t="s">
        <v>383</v>
      </c>
      <c r="B341" s="43" t="s">
        <v>12</v>
      </c>
      <c r="C341" s="43" t="s">
        <v>20</v>
      </c>
      <c r="D341" s="44">
        <v>45946</v>
      </c>
      <c r="H341" s="45" t="str">
        <f t="shared" si="29"/>
        <v>Cancelled</v>
      </c>
      <c r="I341" s="48">
        <f t="shared" si="25"/>
        <v>0</v>
      </c>
      <c r="J341" s="48">
        <f t="shared" si="26"/>
        <v>0</v>
      </c>
      <c r="K341" s="48">
        <f t="shared" si="27"/>
        <v>0</v>
      </c>
      <c r="L341" s="39" t="s">
        <v>10</v>
      </c>
      <c r="M341" s="39" t="s">
        <v>79</v>
      </c>
      <c r="S341" s="51" t="str">
        <f t="shared" si="28"/>
        <v>Detractor</v>
      </c>
    </row>
    <row r="342" ht="14.25" customHeight="1" spans="1:19">
      <c r="A342" s="43" t="s">
        <v>384</v>
      </c>
      <c r="B342" s="43" t="s">
        <v>12</v>
      </c>
      <c r="C342" s="43" t="s">
        <v>22</v>
      </c>
      <c r="D342" s="44">
        <v>45933</v>
      </c>
      <c r="E342" s="44">
        <v>45934</v>
      </c>
      <c r="F342" s="44">
        <v>45935</v>
      </c>
      <c r="G342" s="44">
        <v>45939</v>
      </c>
      <c r="H342" s="45" t="str">
        <f t="shared" si="29"/>
        <v>Delivered</v>
      </c>
      <c r="I342" s="48">
        <f t="shared" si="25"/>
        <v>1</v>
      </c>
      <c r="J342" s="48">
        <f t="shared" si="26"/>
        <v>1</v>
      </c>
      <c r="K342" s="48">
        <f t="shared" si="27"/>
        <v>4</v>
      </c>
      <c r="L342" s="39" t="s">
        <v>9</v>
      </c>
      <c r="N342" s="44">
        <v>45951</v>
      </c>
      <c r="O342" s="39">
        <v>1</v>
      </c>
      <c r="P342" s="39">
        <v>1</v>
      </c>
      <c r="Q342" s="39">
        <v>4</v>
      </c>
      <c r="R342" s="39">
        <v>10</v>
      </c>
      <c r="S342" s="51" t="str">
        <f t="shared" si="28"/>
        <v>Promoter</v>
      </c>
    </row>
    <row r="343" ht="14.25" customHeight="1" spans="1:19">
      <c r="A343" s="43" t="s">
        <v>385</v>
      </c>
      <c r="B343" s="43" t="s">
        <v>14</v>
      </c>
      <c r="C343" s="43" t="s">
        <v>22</v>
      </c>
      <c r="D343" s="44">
        <v>45946</v>
      </c>
      <c r="E343" s="44">
        <v>45951</v>
      </c>
      <c r="F343" s="44">
        <v>45952</v>
      </c>
      <c r="G343" s="44">
        <v>45954</v>
      </c>
      <c r="H343" s="45" t="str">
        <f t="shared" si="29"/>
        <v>Delivered</v>
      </c>
      <c r="I343" s="48">
        <f t="shared" si="25"/>
        <v>5</v>
      </c>
      <c r="J343" s="48">
        <f t="shared" si="26"/>
        <v>1</v>
      </c>
      <c r="K343" s="48">
        <f t="shared" si="27"/>
        <v>2</v>
      </c>
      <c r="L343" s="39" t="s">
        <v>9</v>
      </c>
      <c r="N343" s="44">
        <v>45977</v>
      </c>
      <c r="O343" s="39">
        <v>5</v>
      </c>
      <c r="P343" s="39">
        <v>1</v>
      </c>
      <c r="Q343" s="39">
        <v>2</v>
      </c>
      <c r="R343" s="39">
        <v>1</v>
      </c>
      <c r="S343" s="51" t="str">
        <f t="shared" si="28"/>
        <v>Detractor</v>
      </c>
    </row>
    <row r="344" ht="14.25" customHeight="1" spans="1:19">
      <c r="A344" s="43" t="s">
        <v>386</v>
      </c>
      <c r="B344" s="43" t="s">
        <v>13</v>
      </c>
      <c r="C344" s="43" t="s">
        <v>22</v>
      </c>
      <c r="D344" s="44">
        <v>45942</v>
      </c>
      <c r="E344" s="44">
        <v>45946</v>
      </c>
      <c r="F344" s="44">
        <v>45950</v>
      </c>
      <c r="G344" s="44">
        <v>45957</v>
      </c>
      <c r="H344" s="45" t="str">
        <f t="shared" si="29"/>
        <v>Delivered</v>
      </c>
      <c r="I344" s="48">
        <f t="shared" si="25"/>
        <v>4</v>
      </c>
      <c r="J344" s="48">
        <f t="shared" si="26"/>
        <v>4</v>
      </c>
      <c r="K344" s="48">
        <f t="shared" si="27"/>
        <v>7</v>
      </c>
      <c r="L344" s="39" t="s">
        <v>9</v>
      </c>
      <c r="N344" s="44">
        <v>45973</v>
      </c>
      <c r="O344" s="39">
        <v>4</v>
      </c>
      <c r="P344" s="39">
        <v>4</v>
      </c>
      <c r="Q344" s="39">
        <v>7</v>
      </c>
      <c r="R344" s="39">
        <v>4</v>
      </c>
      <c r="S344" s="51" t="str">
        <f t="shared" si="28"/>
        <v>Detractor</v>
      </c>
    </row>
    <row r="345" ht="14.25" customHeight="1" spans="1:19">
      <c r="A345" s="43" t="s">
        <v>387</v>
      </c>
      <c r="B345" s="43" t="s">
        <v>13</v>
      </c>
      <c r="C345" s="43" t="s">
        <v>22</v>
      </c>
      <c r="D345" s="44">
        <v>45944</v>
      </c>
      <c r="E345" s="44">
        <v>45947</v>
      </c>
      <c r="F345" s="44">
        <v>45950</v>
      </c>
      <c r="G345" s="44">
        <v>45954</v>
      </c>
      <c r="H345" s="45" t="str">
        <f t="shared" si="29"/>
        <v>Delivered</v>
      </c>
      <c r="I345" s="48">
        <f t="shared" si="25"/>
        <v>3</v>
      </c>
      <c r="J345" s="48">
        <f t="shared" si="26"/>
        <v>3</v>
      </c>
      <c r="K345" s="48">
        <f t="shared" si="27"/>
        <v>4</v>
      </c>
      <c r="L345" s="39" t="s">
        <v>9</v>
      </c>
      <c r="N345" s="44">
        <v>45984</v>
      </c>
      <c r="O345" s="39">
        <v>3</v>
      </c>
      <c r="P345" s="39">
        <v>3</v>
      </c>
      <c r="Q345" s="39">
        <v>4</v>
      </c>
      <c r="R345" s="39">
        <v>8</v>
      </c>
      <c r="S345" s="51" t="str">
        <f t="shared" si="28"/>
        <v>Passive</v>
      </c>
    </row>
    <row r="346" ht="14.25" customHeight="1" spans="1:19">
      <c r="A346" s="43" t="s">
        <v>388</v>
      </c>
      <c r="B346" s="43" t="s">
        <v>12</v>
      </c>
      <c r="C346" s="43" t="s">
        <v>22</v>
      </c>
      <c r="D346" s="44">
        <v>45941</v>
      </c>
      <c r="E346" s="44">
        <v>45944</v>
      </c>
      <c r="F346" s="44">
        <v>45945</v>
      </c>
      <c r="G346" s="44">
        <v>45949</v>
      </c>
      <c r="H346" s="45" t="str">
        <f t="shared" si="29"/>
        <v>Delivered</v>
      </c>
      <c r="I346" s="48">
        <f t="shared" si="25"/>
        <v>3</v>
      </c>
      <c r="J346" s="48">
        <f t="shared" si="26"/>
        <v>1</v>
      </c>
      <c r="K346" s="48">
        <f t="shared" si="27"/>
        <v>4</v>
      </c>
      <c r="L346" s="39" t="s">
        <v>9</v>
      </c>
      <c r="N346" s="44">
        <v>45963</v>
      </c>
      <c r="O346" s="39">
        <v>3</v>
      </c>
      <c r="P346" s="39">
        <v>1</v>
      </c>
      <c r="Q346" s="39">
        <v>4</v>
      </c>
      <c r="R346" s="39">
        <v>3</v>
      </c>
      <c r="S346" s="51" t="str">
        <f t="shared" si="28"/>
        <v>Detractor</v>
      </c>
    </row>
    <row r="347" ht="14.25" customHeight="1" spans="1:19">
      <c r="A347" s="43" t="s">
        <v>389</v>
      </c>
      <c r="B347" s="43" t="s">
        <v>12</v>
      </c>
      <c r="C347" s="43" t="s">
        <v>22</v>
      </c>
      <c r="D347" s="44">
        <v>45941</v>
      </c>
      <c r="E347" s="44">
        <v>45946</v>
      </c>
      <c r="F347" s="44">
        <v>45951</v>
      </c>
      <c r="G347" s="44">
        <v>45953</v>
      </c>
      <c r="H347" s="45" t="str">
        <f t="shared" si="29"/>
        <v>Delivered</v>
      </c>
      <c r="I347" s="48">
        <f t="shared" si="25"/>
        <v>5</v>
      </c>
      <c r="J347" s="48">
        <f t="shared" si="26"/>
        <v>5</v>
      </c>
      <c r="K347" s="48">
        <f t="shared" si="27"/>
        <v>2</v>
      </c>
      <c r="L347" s="39" t="s">
        <v>9</v>
      </c>
      <c r="N347" s="44">
        <v>45982</v>
      </c>
      <c r="O347" s="39">
        <v>5</v>
      </c>
      <c r="P347" s="39">
        <v>5</v>
      </c>
      <c r="Q347" s="39">
        <v>2</v>
      </c>
      <c r="R347" s="39">
        <v>6</v>
      </c>
      <c r="S347" s="51" t="str">
        <f t="shared" si="28"/>
        <v>Detractor</v>
      </c>
    </row>
    <row r="348" ht="14.25" customHeight="1" spans="1:19">
      <c r="A348" s="43" t="s">
        <v>390</v>
      </c>
      <c r="B348" s="43" t="s">
        <v>14</v>
      </c>
      <c r="C348" s="43" t="s">
        <v>22</v>
      </c>
      <c r="D348" s="44">
        <v>45952</v>
      </c>
      <c r="E348" s="44">
        <v>45954</v>
      </c>
      <c r="F348" s="44">
        <v>45955</v>
      </c>
      <c r="G348" s="44">
        <v>45959</v>
      </c>
      <c r="H348" s="45" t="str">
        <f t="shared" si="29"/>
        <v>Delivered</v>
      </c>
      <c r="I348" s="48">
        <f t="shared" si="25"/>
        <v>2</v>
      </c>
      <c r="J348" s="48">
        <f t="shared" si="26"/>
        <v>1</v>
      </c>
      <c r="K348" s="48">
        <f t="shared" si="27"/>
        <v>4</v>
      </c>
      <c r="L348" s="39" t="s">
        <v>9</v>
      </c>
      <c r="N348" s="44">
        <v>45977</v>
      </c>
      <c r="O348" s="39">
        <v>2</v>
      </c>
      <c r="P348" s="39">
        <v>1</v>
      </c>
      <c r="Q348" s="39">
        <v>4</v>
      </c>
      <c r="R348" s="39">
        <v>4</v>
      </c>
      <c r="S348" s="51" t="str">
        <f t="shared" si="28"/>
        <v>Detractor</v>
      </c>
    </row>
    <row r="349" ht="14.25" customHeight="1" spans="1:19">
      <c r="A349" s="43" t="s">
        <v>391</v>
      </c>
      <c r="B349" s="43" t="s">
        <v>12</v>
      </c>
      <c r="C349" s="43" t="s">
        <v>21</v>
      </c>
      <c r="D349" s="44">
        <v>45934</v>
      </c>
      <c r="E349" s="44">
        <v>45937</v>
      </c>
      <c r="F349" s="44">
        <v>45938</v>
      </c>
      <c r="G349" s="44">
        <v>45945</v>
      </c>
      <c r="H349" s="45" t="str">
        <f t="shared" si="29"/>
        <v>Delivered</v>
      </c>
      <c r="I349" s="48">
        <f t="shared" si="25"/>
        <v>3</v>
      </c>
      <c r="J349" s="48">
        <f t="shared" si="26"/>
        <v>1</v>
      </c>
      <c r="K349" s="48">
        <f t="shared" si="27"/>
        <v>7</v>
      </c>
      <c r="L349" s="39" t="s">
        <v>9</v>
      </c>
      <c r="N349" s="44">
        <v>45965</v>
      </c>
      <c r="O349" s="39">
        <v>3</v>
      </c>
      <c r="P349" s="39">
        <v>1</v>
      </c>
      <c r="Q349" s="39">
        <v>7</v>
      </c>
      <c r="R349" s="39">
        <v>8</v>
      </c>
      <c r="S349" s="51" t="str">
        <f t="shared" si="28"/>
        <v>Passive</v>
      </c>
    </row>
    <row r="350" ht="14.25" customHeight="1" spans="1:19">
      <c r="A350" s="43" t="s">
        <v>392</v>
      </c>
      <c r="B350" s="43" t="s">
        <v>14</v>
      </c>
      <c r="C350" s="43" t="s">
        <v>22</v>
      </c>
      <c r="D350" s="44">
        <v>45958</v>
      </c>
      <c r="E350" s="44">
        <v>45959</v>
      </c>
      <c r="F350" s="44">
        <v>45963</v>
      </c>
      <c r="G350" s="44">
        <v>45970</v>
      </c>
      <c r="H350" s="45" t="str">
        <f t="shared" si="29"/>
        <v>Delivered</v>
      </c>
      <c r="I350" s="48">
        <f t="shared" si="25"/>
        <v>1</v>
      </c>
      <c r="J350" s="48">
        <f t="shared" si="26"/>
        <v>4</v>
      </c>
      <c r="K350" s="48">
        <f t="shared" si="27"/>
        <v>7</v>
      </c>
      <c r="L350" s="39" t="s">
        <v>9</v>
      </c>
      <c r="N350" s="44">
        <v>45982</v>
      </c>
      <c r="O350" s="39">
        <v>1</v>
      </c>
      <c r="P350" s="39">
        <v>4</v>
      </c>
      <c r="Q350" s="39">
        <v>7</v>
      </c>
      <c r="R350" s="39">
        <v>4</v>
      </c>
      <c r="S350" s="51" t="str">
        <f t="shared" si="28"/>
        <v>Detractor</v>
      </c>
    </row>
    <row r="351" ht="14.25" customHeight="1" spans="1:19">
      <c r="A351" s="43" t="s">
        <v>393</v>
      </c>
      <c r="B351" s="43" t="s">
        <v>13</v>
      </c>
      <c r="C351" s="43" t="s">
        <v>22</v>
      </c>
      <c r="D351" s="44">
        <v>45936</v>
      </c>
      <c r="E351" s="44">
        <v>45941</v>
      </c>
      <c r="F351" s="44">
        <v>45942</v>
      </c>
      <c r="G351" s="44">
        <v>45945</v>
      </c>
      <c r="H351" s="45" t="str">
        <f t="shared" si="29"/>
        <v>Delivered</v>
      </c>
      <c r="I351" s="48">
        <f t="shared" si="25"/>
        <v>5</v>
      </c>
      <c r="J351" s="48">
        <f t="shared" si="26"/>
        <v>1</v>
      </c>
      <c r="K351" s="48">
        <f t="shared" si="27"/>
        <v>3</v>
      </c>
      <c r="L351" s="39" t="s">
        <v>9</v>
      </c>
      <c r="N351" s="44">
        <v>45957</v>
      </c>
      <c r="O351" s="39">
        <v>5</v>
      </c>
      <c r="P351" s="39">
        <v>1</v>
      </c>
      <c r="Q351" s="39">
        <v>3</v>
      </c>
      <c r="R351" s="39">
        <v>6</v>
      </c>
      <c r="S351" s="51" t="str">
        <f t="shared" si="28"/>
        <v>Detractor</v>
      </c>
    </row>
    <row r="352" ht="14.25" customHeight="1" spans="1:19">
      <c r="A352" s="43" t="s">
        <v>394</v>
      </c>
      <c r="B352" s="43" t="s">
        <v>13</v>
      </c>
      <c r="C352" s="43" t="s">
        <v>22</v>
      </c>
      <c r="D352" s="44">
        <v>45941</v>
      </c>
      <c r="E352" s="44">
        <v>45943</v>
      </c>
      <c r="F352" s="44">
        <v>45946</v>
      </c>
      <c r="G352" s="44">
        <v>45948</v>
      </c>
      <c r="H352" s="45" t="str">
        <f t="shared" si="29"/>
        <v>Delivered</v>
      </c>
      <c r="I352" s="48">
        <f t="shared" si="25"/>
        <v>2</v>
      </c>
      <c r="J352" s="48">
        <f t="shared" si="26"/>
        <v>3</v>
      </c>
      <c r="K352" s="48">
        <f t="shared" si="27"/>
        <v>2</v>
      </c>
      <c r="L352" s="39" t="s">
        <v>10</v>
      </c>
      <c r="M352" s="39" t="s">
        <v>42</v>
      </c>
      <c r="O352" s="39">
        <v>2</v>
      </c>
      <c r="P352" s="39">
        <v>3</v>
      </c>
      <c r="Q352" s="39">
        <v>2</v>
      </c>
      <c r="S352" s="51" t="str">
        <f t="shared" si="28"/>
        <v>Detractor</v>
      </c>
    </row>
    <row r="353" ht="14.25" customHeight="1" spans="1:19">
      <c r="A353" s="43" t="s">
        <v>395</v>
      </c>
      <c r="B353" s="43" t="s">
        <v>11</v>
      </c>
      <c r="C353" s="43" t="s">
        <v>22</v>
      </c>
      <c r="D353" s="44">
        <v>45944</v>
      </c>
      <c r="E353" s="44">
        <v>45947</v>
      </c>
      <c r="F353" s="44">
        <v>45951</v>
      </c>
      <c r="G353" s="44">
        <v>45956</v>
      </c>
      <c r="H353" s="45" t="str">
        <f t="shared" si="29"/>
        <v>Delivered</v>
      </c>
      <c r="I353" s="48">
        <f t="shared" si="25"/>
        <v>3</v>
      </c>
      <c r="J353" s="48">
        <f t="shared" si="26"/>
        <v>4</v>
      </c>
      <c r="K353" s="48">
        <f t="shared" si="27"/>
        <v>5</v>
      </c>
      <c r="L353" s="39" t="s">
        <v>10</v>
      </c>
      <c r="M353" s="39" t="s">
        <v>49</v>
      </c>
      <c r="O353" s="39">
        <v>3</v>
      </c>
      <c r="P353" s="39">
        <v>4</v>
      </c>
      <c r="Q353" s="39">
        <v>5</v>
      </c>
      <c r="S353" s="51" t="str">
        <f t="shared" si="28"/>
        <v>Detractor</v>
      </c>
    </row>
    <row r="354" ht="14.25" customHeight="1" spans="1:19">
      <c r="A354" s="43" t="s">
        <v>396</v>
      </c>
      <c r="B354" s="43" t="s">
        <v>13</v>
      </c>
      <c r="C354" s="43" t="s">
        <v>22</v>
      </c>
      <c r="D354" s="44">
        <v>45953</v>
      </c>
      <c r="E354" s="44">
        <v>45956</v>
      </c>
      <c r="F354" s="44">
        <v>45958</v>
      </c>
      <c r="G354" s="44">
        <v>45965</v>
      </c>
      <c r="H354" s="45" t="str">
        <f t="shared" si="29"/>
        <v>Delivered</v>
      </c>
      <c r="I354" s="48">
        <f t="shared" si="25"/>
        <v>3</v>
      </c>
      <c r="J354" s="48">
        <f t="shared" si="26"/>
        <v>2</v>
      </c>
      <c r="K354" s="48">
        <f t="shared" si="27"/>
        <v>7</v>
      </c>
      <c r="L354" s="39" t="s">
        <v>9</v>
      </c>
      <c r="N354" s="44">
        <v>45987</v>
      </c>
      <c r="O354" s="39">
        <v>3</v>
      </c>
      <c r="P354" s="39">
        <v>2</v>
      </c>
      <c r="Q354" s="39">
        <v>7</v>
      </c>
      <c r="R354" s="39">
        <v>5</v>
      </c>
      <c r="S354" s="51" t="str">
        <f t="shared" si="28"/>
        <v>Detractor</v>
      </c>
    </row>
    <row r="355" ht="14.25" customHeight="1" spans="1:19">
      <c r="A355" s="43" t="s">
        <v>397</v>
      </c>
      <c r="B355" s="43" t="s">
        <v>12</v>
      </c>
      <c r="C355" s="43" t="s">
        <v>20</v>
      </c>
      <c r="D355" s="44">
        <v>45946</v>
      </c>
      <c r="H355" s="45" t="str">
        <f t="shared" si="29"/>
        <v>Cancelled</v>
      </c>
      <c r="I355" s="48">
        <f t="shared" si="25"/>
        <v>0</v>
      </c>
      <c r="J355" s="48">
        <f t="shared" si="26"/>
        <v>0</v>
      </c>
      <c r="K355" s="48">
        <f t="shared" si="27"/>
        <v>0</v>
      </c>
      <c r="L355" s="39" t="s">
        <v>10</v>
      </c>
      <c r="M355" s="39" t="s">
        <v>44</v>
      </c>
      <c r="S355" s="51" t="str">
        <f t="shared" si="28"/>
        <v>Detractor</v>
      </c>
    </row>
    <row r="356" ht="14.25" customHeight="1" spans="1:19">
      <c r="A356" s="43" t="s">
        <v>398</v>
      </c>
      <c r="B356" s="43" t="s">
        <v>13</v>
      </c>
      <c r="C356" s="43" t="s">
        <v>21</v>
      </c>
      <c r="D356" s="44">
        <v>45940</v>
      </c>
      <c r="E356" s="44">
        <v>45944</v>
      </c>
      <c r="F356" s="44">
        <v>45946</v>
      </c>
      <c r="G356" s="44">
        <v>45950</v>
      </c>
      <c r="H356" s="45" t="str">
        <f t="shared" si="29"/>
        <v>Delivered</v>
      </c>
      <c r="I356" s="48">
        <f t="shared" si="25"/>
        <v>4</v>
      </c>
      <c r="J356" s="48">
        <f t="shared" si="26"/>
        <v>2</v>
      </c>
      <c r="K356" s="48">
        <f t="shared" si="27"/>
        <v>4</v>
      </c>
      <c r="L356" s="39" t="s">
        <v>9</v>
      </c>
      <c r="N356" s="44">
        <v>45977</v>
      </c>
      <c r="O356" s="39">
        <v>4</v>
      </c>
      <c r="P356" s="39">
        <v>2</v>
      </c>
      <c r="Q356" s="39">
        <v>4</v>
      </c>
      <c r="R356" s="39">
        <v>2</v>
      </c>
      <c r="S356" s="51" t="str">
        <f t="shared" si="28"/>
        <v>Detractor</v>
      </c>
    </row>
    <row r="357" ht="14.25" customHeight="1" spans="1:19">
      <c r="A357" s="43" t="s">
        <v>399</v>
      </c>
      <c r="B357" s="43" t="s">
        <v>14</v>
      </c>
      <c r="C357" s="43" t="s">
        <v>22</v>
      </c>
      <c r="D357" s="44">
        <v>45952</v>
      </c>
      <c r="E357" s="44">
        <v>45954</v>
      </c>
      <c r="F357" s="44">
        <v>45958</v>
      </c>
      <c r="G357" s="44">
        <v>45965</v>
      </c>
      <c r="H357" s="45" t="str">
        <f t="shared" si="29"/>
        <v>Delivered</v>
      </c>
      <c r="I357" s="48">
        <f t="shared" si="25"/>
        <v>2</v>
      </c>
      <c r="J357" s="48">
        <f t="shared" si="26"/>
        <v>4</v>
      </c>
      <c r="K357" s="48">
        <f t="shared" si="27"/>
        <v>7</v>
      </c>
      <c r="L357" s="39" t="s">
        <v>9</v>
      </c>
      <c r="N357" s="44">
        <v>45987</v>
      </c>
      <c r="O357" s="39">
        <v>2</v>
      </c>
      <c r="P357" s="39">
        <v>4</v>
      </c>
      <c r="Q357" s="39">
        <v>7</v>
      </c>
      <c r="R357" s="39">
        <v>3</v>
      </c>
      <c r="S357" s="51" t="str">
        <f t="shared" si="28"/>
        <v>Detractor</v>
      </c>
    </row>
    <row r="358" ht="14.25" customHeight="1" spans="1:19">
      <c r="A358" s="43" t="s">
        <v>400</v>
      </c>
      <c r="B358" s="43" t="s">
        <v>13</v>
      </c>
      <c r="C358" s="43" t="s">
        <v>22</v>
      </c>
      <c r="D358" s="44">
        <v>45961</v>
      </c>
      <c r="E358" s="44">
        <v>45966</v>
      </c>
      <c r="F358" s="44">
        <v>45969</v>
      </c>
      <c r="G358" s="44">
        <v>45976</v>
      </c>
      <c r="H358" s="45" t="str">
        <f t="shared" si="29"/>
        <v>Delivered</v>
      </c>
      <c r="I358" s="48">
        <f t="shared" si="25"/>
        <v>5</v>
      </c>
      <c r="J358" s="48">
        <f t="shared" si="26"/>
        <v>3</v>
      </c>
      <c r="K358" s="48">
        <f t="shared" si="27"/>
        <v>7</v>
      </c>
      <c r="L358" s="39" t="s">
        <v>9</v>
      </c>
      <c r="N358" s="44">
        <v>46003</v>
      </c>
      <c r="O358" s="39">
        <v>5</v>
      </c>
      <c r="P358" s="39">
        <v>3</v>
      </c>
      <c r="Q358" s="39">
        <v>7</v>
      </c>
      <c r="R358" s="39">
        <v>10</v>
      </c>
      <c r="S358" s="51" t="str">
        <f t="shared" si="28"/>
        <v>Promoter</v>
      </c>
    </row>
    <row r="359" ht="14.25" customHeight="1" spans="1:19">
      <c r="A359" s="43" t="s">
        <v>401</v>
      </c>
      <c r="B359" s="43" t="s">
        <v>11</v>
      </c>
      <c r="C359" s="43" t="s">
        <v>22</v>
      </c>
      <c r="D359" s="44">
        <v>45943</v>
      </c>
      <c r="E359" s="44">
        <v>45944</v>
      </c>
      <c r="F359" s="44">
        <v>45948</v>
      </c>
      <c r="G359" s="44">
        <v>45951</v>
      </c>
      <c r="H359" s="45" t="str">
        <f t="shared" si="29"/>
        <v>Delivered</v>
      </c>
      <c r="I359" s="48">
        <f t="shared" si="25"/>
        <v>1</v>
      </c>
      <c r="J359" s="48">
        <f t="shared" si="26"/>
        <v>4</v>
      </c>
      <c r="K359" s="48">
        <f t="shared" si="27"/>
        <v>3</v>
      </c>
      <c r="L359" s="39" t="s">
        <v>9</v>
      </c>
      <c r="N359" s="44">
        <v>45971</v>
      </c>
      <c r="O359" s="39">
        <v>1</v>
      </c>
      <c r="P359" s="39">
        <v>4</v>
      </c>
      <c r="Q359" s="39">
        <v>3</v>
      </c>
      <c r="R359" s="39">
        <v>3</v>
      </c>
      <c r="S359" s="51" t="str">
        <f t="shared" si="28"/>
        <v>Detractor</v>
      </c>
    </row>
    <row r="360" ht="14.25" customHeight="1" spans="1:19">
      <c r="A360" s="43" t="s">
        <v>402</v>
      </c>
      <c r="B360" s="43" t="s">
        <v>13</v>
      </c>
      <c r="C360" s="43" t="s">
        <v>20</v>
      </c>
      <c r="D360" s="44">
        <v>45957</v>
      </c>
      <c r="H360" s="45" t="str">
        <f t="shared" si="29"/>
        <v>Cancelled</v>
      </c>
      <c r="I360" s="48">
        <f t="shared" si="25"/>
        <v>0</v>
      </c>
      <c r="J360" s="48">
        <f t="shared" si="26"/>
        <v>0</v>
      </c>
      <c r="K360" s="48">
        <f t="shared" si="27"/>
        <v>0</v>
      </c>
      <c r="L360" s="39" t="s">
        <v>10</v>
      </c>
      <c r="M360" s="39" t="s">
        <v>42</v>
      </c>
      <c r="S360" s="51" t="str">
        <f t="shared" si="28"/>
        <v>Detractor</v>
      </c>
    </row>
    <row r="361" ht="14.25" customHeight="1" spans="1:19">
      <c r="A361" s="43" t="s">
        <v>403</v>
      </c>
      <c r="B361" s="43" t="s">
        <v>14</v>
      </c>
      <c r="C361" s="43" t="s">
        <v>21</v>
      </c>
      <c r="D361" s="44">
        <v>45955</v>
      </c>
      <c r="E361" s="44">
        <v>45958</v>
      </c>
      <c r="F361" s="44">
        <v>45962</v>
      </c>
      <c r="G361" s="44">
        <v>45967</v>
      </c>
      <c r="H361" s="45" t="str">
        <f t="shared" si="29"/>
        <v>Delivered</v>
      </c>
      <c r="I361" s="48">
        <f t="shared" si="25"/>
        <v>3</v>
      </c>
      <c r="J361" s="48">
        <f t="shared" si="26"/>
        <v>4</v>
      </c>
      <c r="K361" s="48">
        <f t="shared" si="27"/>
        <v>5</v>
      </c>
      <c r="L361" s="39" t="s">
        <v>9</v>
      </c>
      <c r="N361" s="44">
        <v>45985</v>
      </c>
      <c r="O361" s="39">
        <v>3</v>
      </c>
      <c r="P361" s="39">
        <v>4</v>
      </c>
      <c r="Q361" s="39">
        <v>5</v>
      </c>
      <c r="R361" s="39">
        <v>5</v>
      </c>
      <c r="S361" s="51" t="str">
        <f t="shared" si="28"/>
        <v>Detractor</v>
      </c>
    </row>
    <row r="362" ht="14.25" customHeight="1" spans="1:19">
      <c r="A362" s="43" t="s">
        <v>404</v>
      </c>
      <c r="B362" s="43" t="s">
        <v>14</v>
      </c>
      <c r="C362" s="43" t="s">
        <v>22</v>
      </c>
      <c r="D362" s="44">
        <v>45948</v>
      </c>
      <c r="E362" s="44">
        <v>45953</v>
      </c>
      <c r="F362" s="44">
        <v>45957</v>
      </c>
      <c r="G362" s="44">
        <v>45964</v>
      </c>
      <c r="H362" s="45" t="str">
        <f t="shared" si="29"/>
        <v>Delivered</v>
      </c>
      <c r="I362" s="48">
        <f t="shared" si="25"/>
        <v>5</v>
      </c>
      <c r="J362" s="48">
        <f t="shared" si="26"/>
        <v>4</v>
      </c>
      <c r="K362" s="48">
        <f t="shared" si="27"/>
        <v>7</v>
      </c>
      <c r="L362" s="39" t="s">
        <v>9</v>
      </c>
      <c r="N362" s="44">
        <v>45990</v>
      </c>
      <c r="O362" s="39">
        <v>5</v>
      </c>
      <c r="P362" s="39">
        <v>4</v>
      </c>
      <c r="Q362" s="39">
        <v>7</v>
      </c>
      <c r="R362" s="39">
        <v>8</v>
      </c>
      <c r="S362" s="51" t="str">
        <f t="shared" si="28"/>
        <v>Passive</v>
      </c>
    </row>
    <row r="363" ht="14.25" customHeight="1" spans="1:19">
      <c r="A363" s="43" t="s">
        <v>405</v>
      </c>
      <c r="B363" s="43" t="s">
        <v>12</v>
      </c>
      <c r="C363" s="43" t="s">
        <v>22</v>
      </c>
      <c r="D363" s="44">
        <v>45932</v>
      </c>
      <c r="E363" s="44">
        <v>45936</v>
      </c>
      <c r="F363" s="44">
        <v>45940</v>
      </c>
      <c r="G363" s="44">
        <v>45942</v>
      </c>
      <c r="H363" s="45" t="str">
        <f t="shared" si="29"/>
        <v>Delivered</v>
      </c>
      <c r="I363" s="48">
        <f t="shared" si="25"/>
        <v>4</v>
      </c>
      <c r="J363" s="48">
        <f t="shared" si="26"/>
        <v>4</v>
      </c>
      <c r="K363" s="48">
        <f t="shared" si="27"/>
        <v>2</v>
      </c>
      <c r="L363" s="39" t="s">
        <v>9</v>
      </c>
      <c r="N363" s="44">
        <v>45966</v>
      </c>
      <c r="O363" s="39">
        <v>4</v>
      </c>
      <c r="P363" s="39">
        <v>4</v>
      </c>
      <c r="Q363" s="39">
        <v>2</v>
      </c>
      <c r="R363" s="39">
        <v>0</v>
      </c>
      <c r="S363" s="51" t="str">
        <f t="shared" si="28"/>
        <v>Detractor</v>
      </c>
    </row>
    <row r="364" ht="14.25" customHeight="1" spans="1:19">
      <c r="A364" s="43" t="s">
        <v>406</v>
      </c>
      <c r="B364" s="43" t="s">
        <v>13</v>
      </c>
      <c r="C364" s="43" t="s">
        <v>22</v>
      </c>
      <c r="D364" s="44">
        <v>45945</v>
      </c>
      <c r="E364" s="44">
        <v>45948</v>
      </c>
      <c r="F364" s="44">
        <v>45949</v>
      </c>
      <c r="G364" s="44">
        <v>45956</v>
      </c>
      <c r="H364" s="45" t="str">
        <f t="shared" si="29"/>
        <v>Delivered</v>
      </c>
      <c r="I364" s="48">
        <f t="shared" si="25"/>
        <v>3</v>
      </c>
      <c r="J364" s="48">
        <f t="shared" si="26"/>
        <v>1</v>
      </c>
      <c r="K364" s="48">
        <f t="shared" si="27"/>
        <v>7</v>
      </c>
      <c r="L364" s="39" t="s">
        <v>9</v>
      </c>
      <c r="N364" s="44">
        <v>45966</v>
      </c>
      <c r="O364" s="39">
        <v>3</v>
      </c>
      <c r="P364" s="39">
        <v>1</v>
      </c>
      <c r="Q364" s="39">
        <v>7</v>
      </c>
      <c r="R364" s="39">
        <v>1</v>
      </c>
      <c r="S364" s="51" t="str">
        <f t="shared" si="28"/>
        <v>Detractor</v>
      </c>
    </row>
    <row r="365" ht="14.25" customHeight="1" spans="1:19">
      <c r="A365" s="43" t="s">
        <v>407</v>
      </c>
      <c r="B365" s="43" t="s">
        <v>14</v>
      </c>
      <c r="C365" s="43" t="s">
        <v>22</v>
      </c>
      <c r="D365" s="44">
        <v>45933</v>
      </c>
      <c r="E365" s="44">
        <v>45935</v>
      </c>
      <c r="F365" s="44">
        <v>45940</v>
      </c>
      <c r="G365" s="44">
        <v>45942</v>
      </c>
      <c r="H365" s="45" t="str">
        <f t="shared" si="29"/>
        <v>Delivered</v>
      </c>
      <c r="I365" s="48">
        <f t="shared" si="25"/>
        <v>2</v>
      </c>
      <c r="J365" s="48">
        <f t="shared" si="26"/>
        <v>5</v>
      </c>
      <c r="K365" s="48">
        <f t="shared" si="27"/>
        <v>2</v>
      </c>
      <c r="L365" s="39" t="s">
        <v>9</v>
      </c>
      <c r="N365" s="44">
        <v>45971</v>
      </c>
      <c r="O365" s="39">
        <v>2</v>
      </c>
      <c r="P365" s="39">
        <v>5</v>
      </c>
      <c r="Q365" s="39">
        <v>2</v>
      </c>
      <c r="R365" s="39">
        <v>4</v>
      </c>
      <c r="S365" s="51" t="str">
        <f t="shared" si="28"/>
        <v>Detractor</v>
      </c>
    </row>
    <row r="366" ht="14.25" customHeight="1" spans="1:19">
      <c r="A366" s="43" t="s">
        <v>408</v>
      </c>
      <c r="B366" s="43" t="s">
        <v>11</v>
      </c>
      <c r="C366" s="43" t="s">
        <v>22</v>
      </c>
      <c r="D366" s="44">
        <v>45941</v>
      </c>
      <c r="E366" s="44">
        <v>45946</v>
      </c>
      <c r="F366" s="44">
        <v>45948</v>
      </c>
      <c r="G366" s="44">
        <v>45950</v>
      </c>
      <c r="H366" s="45" t="str">
        <f t="shared" si="29"/>
        <v>Delivered</v>
      </c>
      <c r="I366" s="48">
        <f t="shared" si="25"/>
        <v>5</v>
      </c>
      <c r="J366" s="48">
        <f t="shared" si="26"/>
        <v>2</v>
      </c>
      <c r="K366" s="48">
        <f t="shared" si="27"/>
        <v>2</v>
      </c>
      <c r="L366" s="39" t="s">
        <v>9</v>
      </c>
      <c r="N366" s="44">
        <v>45978</v>
      </c>
      <c r="O366" s="39">
        <v>5</v>
      </c>
      <c r="P366" s="39">
        <v>2</v>
      </c>
      <c r="Q366" s="39">
        <v>2</v>
      </c>
      <c r="R366" s="39">
        <v>5</v>
      </c>
      <c r="S366" s="51" t="str">
        <f t="shared" si="28"/>
        <v>Detractor</v>
      </c>
    </row>
    <row r="367" ht="14.25" customHeight="1" spans="1:19">
      <c r="A367" s="43" t="s">
        <v>409</v>
      </c>
      <c r="B367" s="43" t="s">
        <v>12</v>
      </c>
      <c r="C367" s="43" t="s">
        <v>22</v>
      </c>
      <c r="D367" s="44">
        <v>45939</v>
      </c>
      <c r="E367" s="44">
        <v>45940</v>
      </c>
      <c r="F367" s="44">
        <v>45943</v>
      </c>
      <c r="G367" s="44">
        <v>45946</v>
      </c>
      <c r="H367" s="45" t="str">
        <f t="shared" si="29"/>
        <v>Delivered</v>
      </c>
      <c r="I367" s="48">
        <f t="shared" si="25"/>
        <v>1</v>
      </c>
      <c r="J367" s="48">
        <f t="shared" si="26"/>
        <v>3</v>
      </c>
      <c r="K367" s="48">
        <f t="shared" si="27"/>
        <v>3</v>
      </c>
      <c r="L367" s="39" t="s">
        <v>9</v>
      </c>
      <c r="N367" s="44">
        <v>45972</v>
      </c>
      <c r="O367" s="39">
        <v>1</v>
      </c>
      <c r="P367" s="39">
        <v>3</v>
      </c>
      <c r="Q367" s="39">
        <v>3</v>
      </c>
      <c r="R367" s="39">
        <v>10</v>
      </c>
      <c r="S367" s="51" t="str">
        <f t="shared" si="28"/>
        <v>Promoter</v>
      </c>
    </row>
    <row r="368" ht="14.25" customHeight="1" spans="1:19">
      <c r="A368" s="43" t="s">
        <v>410</v>
      </c>
      <c r="B368" s="43" t="s">
        <v>11</v>
      </c>
      <c r="C368" s="43" t="s">
        <v>22</v>
      </c>
      <c r="D368" s="44">
        <v>45941</v>
      </c>
      <c r="E368" s="44">
        <v>45945</v>
      </c>
      <c r="F368" s="44">
        <v>45946</v>
      </c>
      <c r="G368" s="44">
        <v>45951</v>
      </c>
      <c r="H368" s="45" t="str">
        <f t="shared" si="29"/>
        <v>Delivered</v>
      </c>
      <c r="I368" s="48">
        <f t="shared" si="25"/>
        <v>4</v>
      </c>
      <c r="J368" s="48">
        <f t="shared" si="26"/>
        <v>1</v>
      </c>
      <c r="K368" s="48">
        <f t="shared" si="27"/>
        <v>5</v>
      </c>
      <c r="L368" s="39" t="s">
        <v>9</v>
      </c>
      <c r="N368" s="44">
        <v>45974</v>
      </c>
      <c r="O368" s="39">
        <v>4</v>
      </c>
      <c r="P368" s="39">
        <v>1</v>
      </c>
      <c r="Q368" s="39">
        <v>5</v>
      </c>
      <c r="R368" s="39">
        <v>3</v>
      </c>
      <c r="S368" s="51" t="str">
        <f t="shared" si="28"/>
        <v>Detractor</v>
      </c>
    </row>
    <row r="369" ht="14.25" customHeight="1" spans="1:19">
      <c r="A369" s="43" t="s">
        <v>411</v>
      </c>
      <c r="B369" s="43" t="s">
        <v>13</v>
      </c>
      <c r="C369" s="43" t="s">
        <v>21</v>
      </c>
      <c r="D369" s="44">
        <v>45934</v>
      </c>
      <c r="E369" s="44">
        <v>45939</v>
      </c>
      <c r="F369" s="44">
        <v>45941</v>
      </c>
      <c r="G369" s="44">
        <v>45943</v>
      </c>
      <c r="H369" s="45" t="str">
        <f t="shared" si="29"/>
        <v>Delivered</v>
      </c>
      <c r="I369" s="48">
        <f t="shared" si="25"/>
        <v>5</v>
      </c>
      <c r="J369" s="48">
        <f t="shared" si="26"/>
        <v>2</v>
      </c>
      <c r="K369" s="48">
        <f t="shared" si="27"/>
        <v>2</v>
      </c>
      <c r="L369" s="39" t="s">
        <v>10</v>
      </c>
      <c r="M369" s="39" t="s">
        <v>44</v>
      </c>
      <c r="O369" s="39">
        <v>5</v>
      </c>
      <c r="P369" s="39">
        <v>2</v>
      </c>
      <c r="Q369" s="39">
        <v>2</v>
      </c>
      <c r="S369" s="51" t="str">
        <f t="shared" si="28"/>
        <v>Detractor</v>
      </c>
    </row>
    <row r="370" ht="14.25" customHeight="1" spans="1:19">
      <c r="A370" s="43" t="s">
        <v>412</v>
      </c>
      <c r="B370" s="43" t="s">
        <v>13</v>
      </c>
      <c r="C370" s="43" t="s">
        <v>22</v>
      </c>
      <c r="D370" s="44">
        <v>45955</v>
      </c>
      <c r="E370" s="44">
        <v>45958</v>
      </c>
      <c r="F370" s="44">
        <v>45963</v>
      </c>
      <c r="G370" s="44">
        <v>45966</v>
      </c>
      <c r="H370" s="45" t="str">
        <f t="shared" si="29"/>
        <v>Delivered</v>
      </c>
      <c r="I370" s="48">
        <f t="shared" si="25"/>
        <v>3</v>
      </c>
      <c r="J370" s="48">
        <f t="shared" si="26"/>
        <v>5</v>
      </c>
      <c r="K370" s="48">
        <f t="shared" si="27"/>
        <v>3</v>
      </c>
      <c r="L370" s="39" t="s">
        <v>9</v>
      </c>
      <c r="N370" s="44">
        <v>45979</v>
      </c>
      <c r="O370" s="39">
        <v>3</v>
      </c>
      <c r="P370" s="39">
        <v>5</v>
      </c>
      <c r="Q370" s="39">
        <v>3</v>
      </c>
      <c r="R370" s="39">
        <v>10</v>
      </c>
      <c r="S370" s="51" t="str">
        <f t="shared" si="28"/>
        <v>Promoter</v>
      </c>
    </row>
    <row r="371" ht="14.25" customHeight="1" spans="1:19">
      <c r="A371" s="43" t="s">
        <v>413</v>
      </c>
      <c r="B371" s="43" t="s">
        <v>13</v>
      </c>
      <c r="C371" s="43" t="s">
        <v>21</v>
      </c>
      <c r="D371" s="44">
        <v>45943</v>
      </c>
      <c r="E371" s="44">
        <v>45944</v>
      </c>
      <c r="F371" s="44">
        <v>45948</v>
      </c>
      <c r="G371" s="44">
        <v>45954</v>
      </c>
      <c r="H371" s="45" t="str">
        <f t="shared" si="29"/>
        <v>Delivered</v>
      </c>
      <c r="I371" s="48">
        <f t="shared" si="25"/>
        <v>1</v>
      </c>
      <c r="J371" s="48">
        <f t="shared" si="26"/>
        <v>4</v>
      </c>
      <c r="K371" s="48">
        <f t="shared" si="27"/>
        <v>6</v>
      </c>
      <c r="L371" s="39" t="s">
        <v>9</v>
      </c>
      <c r="N371" s="44">
        <v>45977</v>
      </c>
      <c r="O371" s="39">
        <v>1</v>
      </c>
      <c r="P371" s="39">
        <v>4</v>
      </c>
      <c r="Q371" s="39">
        <v>6</v>
      </c>
      <c r="R371" s="39">
        <v>4</v>
      </c>
      <c r="S371" s="51" t="str">
        <f t="shared" si="28"/>
        <v>Detractor</v>
      </c>
    </row>
    <row r="372" ht="14.25" customHeight="1" spans="1:19">
      <c r="A372" s="43" t="s">
        <v>414</v>
      </c>
      <c r="B372" s="43" t="s">
        <v>12</v>
      </c>
      <c r="C372" s="43" t="s">
        <v>22</v>
      </c>
      <c r="D372" s="44">
        <v>45958</v>
      </c>
      <c r="E372" s="44">
        <v>45961</v>
      </c>
      <c r="F372" s="44">
        <v>45966</v>
      </c>
      <c r="G372" s="44">
        <v>45969</v>
      </c>
      <c r="H372" s="45" t="str">
        <f t="shared" si="29"/>
        <v>Delivered</v>
      </c>
      <c r="I372" s="48">
        <f t="shared" si="25"/>
        <v>3</v>
      </c>
      <c r="J372" s="48">
        <f t="shared" si="26"/>
        <v>5</v>
      </c>
      <c r="K372" s="48">
        <f t="shared" si="27"/>
        <v>3</v>
      </c>
      <c r="L372" s="39" t="s">
        <v>9</v>
      </c>
      <c r="N372" s="44">
        <v>45983</v>
      </c>
      <c r="O372" s="39">
        <v>3</v>
      </c>
      <c r="P372" s="39">
        <v>5</v>
      </c>
      <c r="Q372" s="39">
        <v>3</v>
      </c>
      <c r="R372" s="39">
        <v>7</v>
      </c>
      <c r="S372" s="51" t="str">
        <f t="shared" si="28"/>
        <v>Passive</v>
      </c>
    </row>
    <row r="373" ht="14.25" customHeight="1" spans="1:19">
      <c r="A373" s="43" t="s">
        <v>415</v>
      </c>
      <c r="B373" s="43" t="s">
        <v>14</v>
      </c>
      <c r="C373" s="43" t="s">
        <v>22</v>
      </c>
      <c r="D373" s="44">
        <v>45947</v>
      </c>
      <c r="E373" s="44">
        <v>45950</v>
      </c>
      <c r="F373" s="44">
        <v>45952</v>
      </c>
      <c r="G373" s="44">
        <v>45958</v>
      </c>
      <c r="H373" s="45" t="str">
        <f t="shared" si="29"/>
        <v>Delivered</v>
      </c>
      <c r="I373" s="48">
        <f t="shared" si="25"/>
        <v>3</v>
      </c>
      <c r="J373" s="48">
        <f t="shared" si="26"/>
        <v>2</v>
      </c>
      <c r="K373" s="48">
        <f t="shared" si="27"/>
        <v>6</v>
      </c>
      <c r="L373" s="39" t="s">
        <v>9</v>
      </c>
      <c r="N373" s="44">
        <v>45972</v>
      </c>
      <c r="O373" s="39">
        <v>3</v>
      </c>
      <c r="P373" s="39">
        <v>2</v>
      </c>
      <c r="Q373" s="39">
        <v>6</v>
      </c>
      <c r="R373" s="39">
        <v>1</v>
      </c>
      <c r="S373" s="51" t="str">
        <f t="shared" si="28"/>
        <v>Detractor</v>
      </c>
    </row>
    <row r="374" ht="14.25" customHeight="1" spans="1:19">
      <c r="A374" s="43" t="s">
        <v>416</v>
      </c>
      <c r="B374" s="43" t="s">
        <v>12</v>
      </c>
      <c r="C374" s="43" t="s">
        <v>22</v>
      </c>
      <c r="D374" s="44">
        <v>45957</v>
      </c>
      <c r="E374" s="44">
        <v>45959</v>
      </c>
      <c r="F374" s="44">
        <v>45961</v>
      </c>
      <c r="G374" s="44">
        <v>45968</v>
      </c>
      <c r="H374" s="45" t="str">
        <f t="shared" si="29"/>
        <v>Delivered</v>
      </c>
      <c r="I374" s="48">
        <f t="shared" si="25"/>
        <v>2</v>
      </c>
      <c r="J374" s="48">
        <f t="shared" si="26"/>
        <v>2</v>
      </c>
      <c r="K374" s="48">
        <f t="shared" si="27"/>
        <v>7</v>
      </c>
      <c r="L374" s="39" t="s">
        <v>9</v>
      </c>
      <c r="N374" s="44">
        <v>45996</v>
      </c>
      <c r="O374" s="39">
        <v>2</v>
      </c>
      <c r="P374" s="39">
        <v>2</v>
      </c>
      <c r="Q374" s="39">
        <v>7</v>
      </c>
      <c r="R374" s="39">
        <v>5</v>
      </c>
      <c r="S374" s="51" t="str">
        <f t="shared" si="28"/>
        <v>Detractor</v>
      </c>
    </row>
    <row r="375" ht="14.25" customHeight="1" spans="1:19">
      <c r="A375" s="43" t="s">
        <v>417</v>
      </c>
      <c r="B375" s="43" t="s">
        <v>11</v>
      </c>
      <c r="C375" s="43" t="s">
        <v>22</v>
      </c>
      <c r="D375" s="44">
        <v>45931</v>
      </c>
      <c r="E375" s="44">
        <v>45933</v>
      </c>
      <c r="F375" s="44">
        <v>45934</v>
      </c>
      <c r="G375" s="44">
        <v>45939</v>
      </c>
      <c r="H375" s="45" t="str">
        <f t="shared" si="29"/>
        <v>Delivered</v>
      </c>
      <c r="I375" s="48">
        <f t="shared" si="25"/>
        <v>2</v>
      </c>
      <c r="J375" s="48">
        <f t="shared" si="26"/>
        <v>1</v>
      </c>
      <c r="K375" s="48">
        <f t="shared" si="27"/>
        <v>5</v>
      </c>
      <c r="L375" s="39" t="s">
        <v>9</v>
      </c>
      <c r="N375" s="44">
        <v>45967</v>
      </c>
      <c r="O375" s="39">
        <v>2</v>
      </c>
      <c r="P375" s="39">
        <v>1</v>
      </c>
      <c r="Q375" s="39">
        <v>5</v>
      </c>
      <c r="R375" s="39">
        <v>2</v>
      </c>
      <c r="S375" s="51" t="str">
        <f t="shared" si="28"/>
        <v>Detractor</v>
      </c>
    </row>
    <row r="376" ht="14.25" customHeight="1" spans="1:19">
      <c r="A376" s="43" t="s">
        <v>418</v>
      </c>
      <c r="B376" s="43" t="s">
        <v>12</v>
      </c>
      <c r="C376" s="43" t="s">
        <v>21</v>
      </c>
      <c r="D376" s="44">
        <v>45952</v>
      </c>
      <c r="E376" s="44">
        <v>45955</v>
      </c>
      <c r="F376" s="44">
        <v>45956</v>
      </c>
      <c r="G376" s="44">
        <v>45958</v>
      </c>
      <c r="H376" s="45" t="str">
        <f t="shared" si="29"/>
        <v>Delivered</v>
      </c>
      <c r="I376" s="48">
        <f t="shared" si="25"/>
        <v>3</v>
      </c>
      <c r="J376" s="48">
        <f t="shared" si="26"/>
        <v>1</v>
      </c>
      <c r="K376" s="48">
        <f t="shared" si="27"/>
        <v>2</v>
      </c>
      <c r="L376" s="39" t="s">
        <v>9</v>
      </c>
      <c r="N376" s="44">
        <v>45986</v>
      </c>
      <c r="O376" s="39">
        <v>3</v>
      </c>
      <c r="P376" s="39">
        <v>1</v>
      </c>
      <c r="Q376" s="39">
        <v>2</v>
      </c>
      <c r="R376" s="39">
        <v>9</v>
      </c>
      <c r="S376" s="51" t="str">
        <f t="shared" si="28"/>
        <v>Promoter</v>
      </c>
    </row>
    <row r="377" ht="14.25" customHeight="1" spans="1:19">
      <c r="A377" s="43" t="s">
        <v>419</v>
      </c>
      <c r="B377" s="43" t="s">
        <v>11</v>
      </c>
      <c r="C377" s="43" t="s">
        <v>22</v>
      </c>
      <c r="D377" s="44">
        <v>45958</v>
      </c>
      <c r="E377" s="44">
        <v>45962</v>
      </c>
      <c r="F377" s="44">
        <v>45965</v>
      </c>
      <c r="G377" s="44">
        <v>45967</v>
      </c>
      <c r="H377" s="45" t="str">
        <f t="shared" si="29"/>
        <v>Delivered</v>
      </c>
      <c r="I377" s="48">
        <f t="shared" si="25"/>
        <v>4</v>
      </c>
      <c r="J377" s="48">
        <f t="shared" si="26"/>
        <v>3</v>
      </c>
      <c r="K377" s="48">
        <f t="shared" si="27"/>
        <v>2</v>
      </c>
      <c r="L377" s="39" t="s">
        <v>10</v>
      </c>
      <c r="M377" s="39" t="s">
        <v>49</v>
      </c>
      <c r="O377" s="39">
        <v>4</v>
      </c>
      <c r="P377" s="39">
        <v>3</v>
      </c>
      <c r="Q377" s="39">
        <v>2</v>
      </c>
      <c r="S377" s="51" t="str">
        <f t="shared" si="28"/>
        <v>Detractor</v>
      </c>
    </row>
    <row r="378" ht="14.25" customHeight="1" spans="1:19">
      <c r="A378" s="43" t="s">
        <v>420</v>
      </c>
      <c r="B378" s="43" t="s">
        <v>12</v>
      </c>
      <c r="C378" s="43" t="s">
        <v>22</v>
      </c>
      <c r="D378" s="44">
        <v>45948</v>
      </c>
      <c r="E378" s="44">
        <v>45950</v>
      </c>
      <c r="F378" s="44">
        <v>45954</v>
      </c>
      <c r="G378" s="44">
        <v>45961</v>
      </c>
      <c r="H378" s="45" t="str">
        <f t="shared" si="29"/>
        <v>Delivered</v>
      </c>
      <c r="I378" s="48">
        <f t="shared" si="25"/>
        <v>2</v>
      </c>
      <c r="J378" s="48">
        <f t="shared" si="26"/>
        <v>4</v>
      </c>
      <c r="K378" s="48">
        <f t="shared" si="27"/>
        <v>7</v>
      </c>
      <c r="L378" s="39" t="s">
        <v>9</v>
      </c>
      <c r="N378" s="44">
        <v>45974</v>
      </c>
      <c r="O378" s="39">
        <v>2</v>
      </c>
      <c r="P378" s="39">
        <v>4</v>
      </c>
      <c r="Q378" s="39">
        <v>7</v>
      </c>
      <c r="R378" s="39">
        <v>3</v>
      </c>
      <c r="S378" s="51" t="str">
        <f t="shared" si="28"/>
        <v>Detractor</v>
      </c>
    </row>
    <row r="379" ht="14.25" customHeight="1" spans="1:19">
      <c r="A379" s="43" t="s">
        <v>421</v>
      </c>
      <c r="B379" s="43" t="s">
        <v>14</v>
      </c>
      <c r="C379" s="43" t="s">
        <v>22</v>
      </c>
      <c r="D379" s="44">
        <v>45945</v>
      </c>
      <c r="E379" s="44">
        <v>45947</v>
      </c>
      <c r="F379" s="44">
        <v>45952</v>
      </c>
      <c r="G379" s="44">
        <v>45956</v>
      </c>
      <c r="H379" s="45" t="str">
        <f t="shared" si="29"/>
        <v>Delivered</v>
      </c>
      <c r="I379" s="48">
        <f t="shared" si="25"/>
        <v>2</v>
      </c>
      <c r="J379" s="48">
        <f t="shared" si="26"/>
        <v>5</v>
      </c>
      <c r="K379" s="48">
        <f t="shared" si="27"/>
        <v>4</v>
      </c>
      <c r="L379" s="39" t="s">
        <v>9</v>
      </c>
      <c r="N379" s="44">
        <v>45969</v>
      </c>
      <c r="O379" s="39">
        <v>2</v>
      </c>
      <c r="P379" s="39">
        <v>5</v>
      </c>
      <c r="Q379" s="39">
        <v>4</v>
      </c>
      <c r="R379" s="39">
        <v>9</v>
      </c>
      <c r="S379" s="51" t="str">
        <f t="shared" si="28"/>
        <v>Promoter</v>
      </c>
    </row>
    <row r="380" ht="14.25" customHeight="1" spans="1:19">
      <c r="A380" s="43" t="s">
        <v>422</v>
      </c>
      <c r="B380" s="43" t="s">
        <v>11</v>
      </c>
      <c r="C380" s="43" t="s">
        <v>20</v>
      </c>
      <c r="D380" s="44">
        <v>45944</v>
      </c>
      <c r="H380" s="45" t="str">
        <f t="shared" si="29"/>
        <v>Cancelled</v>
      </c>
      <c r="I380" s="48">
        <f t="shared" si="25"/>
        <v>0</v>
      </c>
      <c r="J380" s="48">
        <f t="shared" si="26"/>
        <v>0</v>
      </c>
      <c r="K380" s="48">
        <f t="shared" si="27"/>
        <v>0</v>
      </c>
      <c r="L380" s="39" t="s">
        <v>10</v>
      </c>
      <c r="M380" s="39" t="s">
        <v>79</v>
      </c>
      <c r="S380" s="51" t="str">
        <f t="shared" si="28"/>
        <v>Detractor</v>
      </c>
    </row>
    <row r="381" ht="14.25" customHeight="1" spans="1:19">
      <c r="A381" s="43" t="s">
        <v>423</v>
      </c>
      <c r="B381" s="43" t="s">
        <v>13</v>
      </c>
      <c r="C381" s="43" t="s">
        <v>21</v>
      </c>
      <c r="D381" s="44">
        <v>45932</v>
      </c>
      <c r="E381" s="44">
        <v>45934</v>
      </c>
      <c r="F381" s="44">
        <v>45938</v>
      </c>
      <c r="G381" s="44">
        <v>45940</v>
      </c>
      <c r="H381" s="45" t="str">
        <f t="shared" si="29"/>
        <v>Delivered</v>
      </c>
      <c r="I381" s="48">
        <f t="shared" si="25"/>
        <v>2</v>
      </c>
      <c r="J381" s="48">
        <f t="shared" si="26"/>
        <v>4</v>
      </c>
      <c r="K381" s="48">
        <f t="shared" si="27"/>
        <v>2</v>
      </c>
      <c r="L381" s="39" t="s">
        <v>9</v>
      </c>
      <c r="N381" s="44">
        <v>45968</v>
      </c>
      <c r="O381" s="39">
        <v>2</v>
      </c>
      <c r="P381" s="39">
        <v>4</v>
      </c>
      <c r="Q381" s="39">
        <v>2</v>
      </c>
      <c r="R381" s="39">
        <v>10</v>
      </c>
      <c r="S381" s="51" t="str">
        <f t="shared" si="28"/>
        <v>Promoter</v>
      </c>
    </row>
    <row r="382" ht="14.25" customHeight="1" spans="1:19">
      <c r="A382" s="43" t="s">
        <v>424</v>
      </c>
      <c r="B382" s="43" t="s">
        <v>13</v>
      </c>
      <c r="C382" s="43" t="s">
        <v>22</v>
      </c>
      <c r="D382" s="44">
        <v>45937</v>
      </c>
      <c r="E382" s="44">
        <v>45939</v>
      </c>
      <c r="F382" s="44">
        <v>45944</v>
      </c>
      <c r="G382" s="44">
        <v>45949</v>
      </c>
      <c r="H382" s="45" t="str">
        <f t="shared" si="29"/>
        <v>Delivered</v>
      </c>
      <c r="I382" s="48">
        <f t="shared" si="25"/>
        <v>2</v>
      </c>
      <c r="J382" s="48">
        <f t="shared" si="26"/>
        <v>5</v>
      </c>
      <c r="K382" s="48">
        <f t="shared" si="27"/>
        <v>5</v>
      </c>
      <c r="L382" s="39" t="s">
        <v>9</v>
      </c>
      <c r="N382" s="44">
        <v>45962</v>
      </c>
      <c r="O382" s="39">
        <v>2</v>
      </c>
      <c r="P382" s="39">
        <v>5</v>
      </c>
      <c r="Q382" s="39">
        <v>5</v>
      </c>
      <c r="R382" s="39">
        <v>1</v>
      </c>
      <c r="S382" s="51" t="str">
        <f t="shared" si="28"/>
        <v>Detractor</v>
      </c>
    </row>
    <row r="383" ht="14.25" customHeight="1" spans="1:19">
      <c r="A383" s="43" t="s">
        <v>425</v>
      </c>
      <c r="B383" s="43" t="s">
        <v>12</v>
      </c>
      <c r="C383" s="43" t="s">
        <v>22</v>
      </c>
      <c r="D383" s="44">
        <v>45947</v>
      </c>
      <c r="E383" s="44">
        <v>45948</v>
      </c>
      <c r="F383" s="44">
        <v>45952</v>
      </c>
      <c r="G383" s="44">
        <v>45959</v>
      </c>
      <c r="H383" s="45" t="str">
        <f t="shared" si="29"/>
        <v>Delivered</v>
      </c>
      <c r="I383" s="48">
        <f t="shared" si="25"/>
        <v>1</v>
      </c>
      <c r="J383" s="48">
        <f t="shared" si="26"/>
        <v>4</v>
      </c>
      <c r="K383" s="48">
        <f t="shared" si="27"/>
        <v>7</v>
      </c>
      <c r="L383" s="39" t="s">
        <v>9</v>
      </c>
      <c r="N383" s="44">
        <v>45978</v>
      </c>
      <c r="O383" s="39">
        <v>1</v>
      </c>
      <c r="P383" s="39">
        <v>4</v>
      </c>
      <c r="Q383" s="39">
        <v>7</v>
      </c>
      <c r="R383" s="39">
        <v>8</v>
      </c>
      <c r="S383" s="51" t="str">
        <f t="shared" si="28"/>
        <v>Passive</v>
      </c>
    </row>
    <row r="384" ht="14.25" customHeight="1" spans="1:19">
      <c r="A384" s="43" t="s">
        <v>426</v>
      </c>
      <c r="B384" s="43" t="s">
        <v>13</v>
      </c>
      <c r="C384" s="43" t="s">
        <v>22</v>
      </c>
      <c r="D384" s="44">
        <v>45942</v>
      </c>
      <c r="E384" s="44">
        <v>45945</v>
      </c>
      <c r="F384" s="44">
        <v>45947</v>
      </c>
      <c r="G384" s="44">
        <v>45950</v>
      </c>
      <c r="H384" s="45" t="str">
        <f t="shared" si="29"/>
        <v>Delivered</v>
      </c>
      <c r="I384" s="48">
        <f t="shared" si="25"/>
        <v>3</v>
      </c>
      <c r="J384" s="48">
        <f t="shared" si="26"/>
        <v>2</v>
      </c>
      <c r="K384" s="48">
        <f t="shared" si="27"/>
        <v>3</v>
      </c>
      <c r="L384" s="39" t="s">
        <v>9</v>
      </c>
      <c r="N384" s="44">
        <v>45977</v>
      </c>
      <c r="O384" s="39">
        <v>3</v>
      </c>
      <c r="P384" s="39">
        <v>2</v>
      </c>
      <c r="Q384" s="39">
        <v>3</v>
      </c>
      <c r="R384" s="39">
        <v>4</v>
      </c>
      <c r="S384" s="51" t="str">
        <f t="shared" si="28"/>
        <v>Detractor</v>
      </c>
    </row>
    <row r="385" ht="14.25" customHeight="1" spans="1:19">
      <c r="A385" s="43" t="s">
        <v>427</v>
      </c>
      <c r="B385" s="43" t="s">
        <v>11</v>
      </c>
      <c r="C385" s="43" t="s">
        <v>21</v>
      </c>
      <c r="D385" s="44">
        <v>45950</v>
      </c>
      <c r="E385" s="44">
        <v>45951</v>
      </c>
      <c r="F385" s="44">
        <v>45953</v>
      </c>
      <c r="G385" s="44">
        <v>45958</v>
      </c>
      <c r="H385" s="45" t="str">
        <f t="shared" si="29"/>
        <v>Delivered</v>
      </c>
      <c r="I385" s="48">
        <f t="shared" si="25"/>
        <v>1</v>
      </c>
      <c r="J385" s="48">
        <f t="shared" si="26"/>
        <v>2</v>
      </c>
      <c r="K385" s="48">
        <f t="shared" si="27"/>
        <v>5</v>
      </c>
      <c r="L385" s="39" t="s">
        <v>9</v>
      </c>
      <c r="N385" s="44">
        <v>45979</v>
      </c>
      <c r="O385" s="39">
        <v>1</v>
      </c>
      <c r="P385" s="39">
        <v>2</v>
      </c>
      <c r="Q385" s="39">
        <v>5</v>
      </c>
      <c r="R385" s="39">
        <v>9</v>
      </c>
      <c r="S385" s="51" t="str">
        <f t="shared" si="28"/>
        <v>Promoter</v>
      </c>
    </row>
    <row r="386" ht="14.25" customHeight="1" spans="1:19">
      <c r="A386" s="43" t="s">
        <v>428</v>
      </c>
      <c r="B386" s="43" t="s">
        <v>13</v>
      </c>
      <c r="C386" s="43" t="s">
        <v>21</v>
      </c>
      <c r="D386" s="44">
        <v>45955</v>
      </c>
      <c r="E386" s="44">
        <v>45960</v>
      </c>
      <c r="F386" s="44">
        <v>45964</v>
      </c>
      <c r="G386" s="44">
        <v>45966</v>
      </c>
      <c r="H386" s="45" t="str">
        <f t="shared" si="29"/>
        <v>Delivered</v>
      </c>
      <c r="I386" s="48">
        <f t="shared" si="25"/>
        <v>5</v>
      </c>
      <c r="J386" s="48">
        <f t="shared" si="26"/>
        <v>4</v>
      </c>
      <c r="K386" s="48">
        <f t="shared" si="27"/>
        <v>2</v>
      </c>
      <c r="L386" s="39" t="s">
        <v>10</v>
      </c>
      <c r="M386" s="39" t="s">
        <v>44</v>
      </c>
      <c r="O386" s="39">
        <v>5</v>
      </c>
      <c r="P386" s="39">
        <v>4</v>
      </c>
      <c r="Q386" s="39">
        <v>2</v>
      </c>
      <c r="S386" s="51" t="str">
        <f t="shared" si="28"/>
        <v>Detractor</v>
      </c>
    </row>
    <row r="387" ht="14.25" customHeight="1" spans="1:19">
      <c r="A387" s="43" t="s">
        <v>429</v>
      </c>
      <c r="B387" s="43" t="s">
        <v>14</v>
      </c>
      <c r="C387" s="43" t="s">
        <v>20</v>
      </c>
      <c r="D387" s="44">
        <v>45946</v>
      </c>
      <c r="H387" s="45" t="str">
        <f t="shared" si="29"/>
        <v>Cancelled</v>
      </c>
      <c r="I387" s="48">
        <f t="shared" ref="I387:I450" si="30">IF(E387&gt;D387,E387-D387,0)</f>
        <v>0</v>
      </c>
      <c r="J387" s="48">
        <f t="shared" ref="J387:J450" si="31">IF(F387&gt;E387,F387-E387,0)</f>
        <v>0</v>
      </c>
      <c r="K387" s="48">
        <f t="shared" ref="K387:K450" si="32">IF(G387&gt;F387,G387-F387,0)</f>
        <v>0</v>
      </c>
      <c r="L387" s="39" t="s">
        <v>10</v>
      </c>
      <c r="M387" s="39" t="s">
        <v>117</v>
      </c>
      <c r="S387" s="51" t="str">
        <f t="shared" ref="S387:S450" si="33">IF(R387&gt;=9,"Promoter",IF(R387&gt;=7,"Passive","Detractor"))</f>
        <v>Detractor</v>
      </c>
    </row>
    <row r="388" ht="14.25" customHeight="1" spans="1:19">
      <c r="A388" s="43" t="s">
        <v>430</v>
      </c>
      <c r="B388" s="43" t="s">
        <v>14</v>
      </c>
      <c r="C388" s="43" t="s">
        <v>22</v>
      </c>
      <c r="D388" s="44">
        <v>45951</v>
      </c>
      <c r="E388" s="44">
        <v>45956</v>
      </c>
      <c r="F388" s="44">
        <v>45959</v>
      </c>
      <c r="G388" s="44">
        <v>45962</v>
      </c>
      <c r="H388" s="45" t="str">
        <f t="shared" si="29"/>
        <v>Delivered</v>
      </c>
      <c r="I388" s="48">
        <f t="shared" si="30"/>
        <v>5</v>
      </c>
      <c r="J388" s="48">
        <f t="shared" si="31"/>
        <v>3</v>
      </c>
      <c r="K388" s="48">
        <f t="shared" si="32"/>
        <v>3</v>
      </c>
      <c r="L388" s="39" t="s">
        <v>9</v>
      </c>
      <c r="N388" s="44">
        <v>45985</v>
      </c>
      <c r="O388" s="39">
        <v>5</v>
      </c>
      <c r="P388" s="39">
        <v>3</v>
      </c>
      <c r="Q388" s="39">
        <v>3</v>
      </c>
      <c r="R388" s="39">
        <v>5</v>
      </c>
      <c r="S388" s="51" t="str">
        <f t="shared" si="33"/>
        <v>Detractor</v>
      </c>
    </row>
    <row r="389" ht="14.25" customHeight="1" spans="1:19">
      <c r="A389" s="43" t="s">
        <v>431</v>
      </c>
      <c r="B389" s="43" t="s">
        <v>12</v>
      </c>
      <c r="C389" s="43" t="s">
        <v>22</v>
      </c>
      <c r="D389" s="44">
        <v>45945</v>
      </c>
      <c r="E389" s="44">
        <v>45950</v>
      </c>
      <c r="F389" s="44">
        <v>45952</v>
      </c>
      <c r="G389" s="44">
        <v>45957</v>
      </c>
      <c r="H389" s="45" t="str">
        <f t="shared" ref="H389:H452" si="34">IF(G389&lt;&gt;"","Delivered",IF(F389&lt;&gt;"","Booked",IF(E389&lt;&gt;"","Pre-Booked",IF(D389&lt;&gt;"","Cancelled",""))))</f>
        <v>Delivered</v>
      </c>
      <c r="I389" s="48">
        <f t="shared" si="30"/>
        <v>5</v>
      </c>
      <c r="J389" s="48">
        <f t="shared" si="31"/>
        <v>2</v>
      </c>
      <c r="K389" s="48">
        <f t="shared" si="32"/>
        <v>5</v>
      </c>
      <c r="L389" s="39" t="s">
        <v>10</v>
      </c>
      <c r="M389" s="39" t="s">
        <v>117</v>
      </c>
      <c r="O389" s="39">
        <v>5</v>
      </c>
      <c r="P389" s="39">
        <v>2</v>
      </c>
      <c r="Q389" s="39">
        <v>5</v>
      </c>
      <c r="S389" s="51" t="str">
        <f t="shared" si="33"/>
        <v>Detractor</v>
      </c>
    </row>
    <row r="390" ht="14.25" customHeight="1" spans="1:19">
      <c r="A390" s="43" t="s">
        <v>432</v>
      </c>
      <c r="B390" s="43" t="s">
        <v>11</v>
      </c>
      <c r="C390" s="43" t="s">
        <v>22</v>
      </c>
      <c r="D390" s="44">
        <v>45955</v>
      </c>
      <c r="E390" s="44">
        <v>45956</v>
      </c>
      <c r="F390" s="44">
        <v>45959</v>
      </c>
      <c r="G390" s="44">
        <v>45961</v>
      </c>
      <c r="H390" s="45" t="str">
        <f t="shared" si="34"/>
        <v>Delivered</v>
      </c>
      <c r="I390" s="48">
        <f t="shared" si="30"/>
        <v>1</v>
      </c>
      <c r="J390" s="48">
        <f t="shared" si="31"/>
        <v>3</v>
      </c>
      <c r="K390" s="48">
        <f t="shared" si="32"/>
        <v>2</v>
      </c>
      <c r="L390" s="39" t="s">
        <v>9</v>
      </c>
      <c r="N390" s="44">
        <v>45979</v>
      </c>
      <c r="O390" s="39">
        <v>1</v>
      </c>
      <c r="P390" s="39">
        <v>3</v>
      </c>
      <c r="Q390" s="39">
        <v>2</v>
      </c>
      <c r="R390" s="39">
        <v>3</v>
      </c>
      <c r="S390" s="51" t="str">
        <f t="shared" si="33"/>
        <v>Detractor</v>
      </c>
    </row>
    <row r="391" ht="14.25" customHeight="1" spans="1:19">
      <c r="A391" s="43" t="s">
        <v>433</v>
      </c>
      <c r="B391" s="43" t="s">
        <v>14</v>
      </c>
      <c r="C391" s="43" t="s">
        <v>22</v>
      </c>
      <c r="D391" s="44">
        <v>45932</v>
      </c>
      <c r="E391" s="44">
        <v>45935</v>
      </c>
      <c r="F391" s="44">
        <v>45937</v>
      </c>
      <c r="G391" s="44">
        <v>45944</v>
      </c>
      <c r="H391" s="45" t="str">
        <f t="shared" si="34"/>
        <v>Delivered</v>
      </c>
      <c r="I391" s="48">
        <f t="shared" si="30"/>
        <v>3</v>
      </c>
      <c r="J391" s="48">
        <f t="shared" si="31"/>
        <v>2</v>
      </c>
      <c r="K391" s="48">
        <f t="shared" si="32"/>
        <v>7</v>
      </c>
      <c r="L391" s="39" t="s">
        <v>9</v>
      </c>
      <c r="N391" s="44">
        <v>45966</v>
      </c>
      <c r="O391" s="39">
        <v>3</v>
      </c>
      <c r="P391" s="39">
        <v>2</v>
      </c>
      <c r="Q391" s="39">
        <v>7</v>
      </c>
      <c r="R391" s="39">
        <v>6</v>
      </c>
      <c r="S391" s="51" t="str">
        <f t="shared" si="33"/>
        <v>Detractor</v>
      </c>
    </row>
    <row r="392" ht="14.25" customHeight="1" spans="1:19">
      <c r="A392" s="43" t="s">
        <v>434</v>
      </c>
      <c r="B392" s="43" t="s">
        <v>14</v>
      </c>
      <c r="C392" s="43" t="s">
        <v>21</v>
      </c>
      <c r="D392" s="44">
        <v>45937</v>
      </c>
      <c r="E392" s="44">
        <v>45942</v>
      </c>
      <c r="F392" s="44">
        <v>45943</v>
      </c>
      <c r="G392" s="44">
        <v>45945</v>
      </c>
      <c r="H392" s="45" t="str">
        <f t="shared" si="34"/>
        <v>Delivered</v>
      </c>
      <c r="I392" s="48">
        <f t="shared" si="30"/>
        <v>5</v>
      </c>
      <c r="J392" s="48">
        <f t="shared" si="31"/>
        <v>1</v>
      </c>
      <c r="K392" s="48">
        <f t="shared" si="32"/>
        <v>2</v>
      </c>
      <c r="L392" s="39" t="s">
        <v>9</v>
      </c>
      <c r="N392" s="44">
        <v>45975</v>
      </c>
      <c r="O392" s="39">
        <v>5</v>
      </c>
      <c r="P392" s="39">
        <v>1</v>
      </c>
      <c r="Q392" s="39">
        <v>2</v>
      </c>
      <c r="R392" s="39">
        <v>1</v>
      </c>
      <c r="S392" s="51" t="str">
        <f t="shared" si="33"/>
        <v>Detractor</v>
      </c>
    </row>
    <row r="393" ht="14.25" customHeight="1" spans="1:19">
      <c r="A393" s="43" t="s">
        <v>435</v>
      </c>
      <c r="B393" s="43" t="s">
        <v>11</v>
      </c>
      <c r="C393" s="43" t="s">
        <v>22</v>
      </c>
      <c r="D393" s="44">
        <v>45939</v>
      </c>
      <c r="E393" s="44">
        <v>45941</v>
      </c>
      <c r="F393" s="44">
        <v>45942</v>
      </c>
      <c r="G393" s="44">
        <v>45944</v>
      </c>
      <c r="H393" s="45" t="str">
        <f t="shared" si="34"/>
        <v>Delivered</v>
      </c>
      <c r="I393" s="48">
        <f t="shared" si="30"/>
        <v>2</v>
      </c>
      <c r="J393" s="48">
        <f t="shared" si="31"/>
        <v>1</v>
      </c>
      <c r="K393" s="48">
        <f t="shared" si="32"/>
        <v>2</v>
      </c>
      <c r="L393" s="39" t="s">
        <v>9</v>
      </c>
      <c r="N393" s="44">
        <v>45969</v>
      </c>
      <c r="O393" s="39">
        <v>2</v>
      </c>
      <c r="P393" s="39">
        <v>1</v>
      </c>
      <c r="Q393" s="39">
        <v>2</v>
      </c>
      <c r="R393" s="39">
        <v>4</v>
      </c>
      <c r="S393" s="51" t="str">
        <f t="shared" si="33"/>
        <v>Detractor</v>
      </c>
    </row>
    <row r="394" ht="14.25" customHeight="1" spans="1:19">
      <c r="A394" s="43" t="s">
        <v>436</v>
      </c>
      <c r="B394" s="43" t="s">
        <v>13</v>
      </c>
      <c r="C394" s="43" t="s">
        <v>22</v>
      </c>
      <c r="D394" s="44">
        <v>45948</v>
      </c>
      <c r="E394" s="44">
        <v>45953</v>
      </c>
      <c r="F394" s="44">
        <v>45957</v>
      </c>
      <c r="G394" s="44">
        <v>45961</v>
      </c>
      <c r="H394" s="45" t="str">
        <f t="shared" si="34"/>
        <v>Delivered</v>
      </c>
      <c r="I394" s="48">
        <f t="shared" si="30"/>
        <v>5</v>
      </c>
      <c r="J394" s="48">
        <f t="shared" si="31"/>
        <v>4</v>
      </c>
      <c r="K394" s="48">
        <f t="shared" si="32"/>
        <v>4</v>
      </c>
      <c r="L394" s="39" t="s">
        <v>9</v>
      </c>
      <c r="N394" s="44">
        <v>45989</v>
      </c>
      <c r="O394" s="39">
        <v>5</v>
      </c>
      <c r="P394" s="39">
        <v>4</v>
      </c>
      <c r="Q394" s="39">
        <v>4</v>
      </c>
      <c r="R394" s="39">
        <v>6</v>
      </c>
      <c r="S394" s="51" t="str">
        <f t="shared" si="33"/>
        <v>Detractor</v>
      </c>
    </row>
    <row r="395" ht="14.25" customHeight="1" spans="1:19">
      <c r="A395" s="43" t="s">
        <v>437</v>
      </c>
      <c r="B395" s="43" t="s">
        <v>13</v>
      </c>
      <c r="C395" s="43" t="s">
        <v>20</v>
      </c>
      <c r="D395" s="44">
        <v>45935</v>
      </c>
      <c r="H395" s="45" t="str">
        <f t="shared" si="34"/>
        <v>Cancelled</v>
      </c>
      <c r="I395" s="48">
        <f t="shared" si="30"/>
        <v>0</v>
      </c>
      <c r="J395" s="48">
        <f t="shared" si="31"/>
        <v>0</v>
      </c>
      <c r="K395" s="48">
        <f t="shared" si="32"/>
        <v>0</v>
      </c>
      <c r="L395" s="39" t="s">
        <v>10</v>
      </c>
      <c r="M395" s="39" t="s">
        <v>42</v>
      </c>
      <c r="S395" s="51" t="str">
        <f t="shared" si="33"/>
        <v>Detractor</v>
      </c>
    </row>
    <row r="396" ht="14.25" customHeight="1" spans="1:19">
      <c r="A396" s="43" t="s">
        <v>438</v>
      </c>
      <c r="B396" s="43" t="s">
        <v>12</v>
      </c>
      <c r="C396" s="43" t="s">
        <v>21</v>
      </c>
      <c r="D396" s="44">
        <v>45960</v>
      </c>
      <c r="E396" s="44">
        <v>45964</v>
      </c>
      <c r="F396" s="44">
        <v>45969</v>
      </c>
      <c r="G396" s="44">
        <v>45973</v>
      </c>
      <c r="H396" s="45" t="str">
        <f t="shared" si="34"/>
        <v>Delivered</v>
      </c>
      <c r="I396" s="48">
        <f t="shared" si="30"/>
        <v>4</v>
      </c>
      <c r="J396" s="48">
        <f t="shared" si="31"/>
        <v>5</v>
      </c>
      <c r="K396" s="48">
        <f t="shared" si="32"/>
        <v>4</v>
      </c>
      <c r="L396" s="39" t="s">
        <v>9</v>
      </c>
      <c r="N396" s="44">
        <v>46002</v>
      </c>
      <c r="O396" s="39">
        <v>4</v>
      </c>
      <c r="P396" s="39">
        <v>5</v>
      </c>
      <c r="Q396" s="39">
        <v>4</v>
      </c>
      <c r="R396" s="39">
        <v>2</v>
      </c>
      <c r="S396" s="51" t="str">
        <f t="shared" si="33"/>
        <v>Detractor</v>
      </c>
    </row>
    <row r="397" ht="14.25" customHeight="1" spans="1:19">
      <c r="A397" s="43" t="s">
        <v>439</v>
      </c>
      <c r="B397" s="43" t="s">
        <v>13</v>
      </c>
      <c r="C397" s="43" t="s">
        <v>22</v>
      </c>
      <c r="D397" s="44">
        <v>45940</v>
      </c>
      <c r="E397" s="44">
        <v>45942</v>
      </c>
      <c r="F397" s="44">
        <v>45943</v>
      </c>
      <c r="G397" s="44">
        <v>45947</v>
      </c>
      <c r="H397" s="45" t="str">
        <f t="shared" si="34"/>
        <v>Delivered</v>
      </c>
      <c r="I397" s="48">
        <f t="shared" si="30"/>
        <v>2</v>
      </c>
      <c r="J397" s="48">
        <f t="shared" si="31"/>
        <v>1</v>
      </c>
      <c r="K397" s="48">
        <f t="shared" si="32"/>
        <v>4</v>
      </c>
      <c r="L397" s="39" t="s">
        <v>9</v>
      </c>
      <c r="N397" s="44">
        <v>45972</v>
      </c>
      <c r="O397" s="39">
        <v>2</v>
      </c>
      <c r="P397" s="39">
        <v>1</v>
      </c>
      <c r="Q397" s="39">
        <v>4</v>
      </c>
      <c r="R397" s="39">
        <v>8</v>
      </c>
      <c r="S397" s="51" t="str">
        <f t="shared" si="33"/>
        <v>Passive</v>
      </c>
    </row>
    <row r="398" ht="14.25" customHeight="1" spans="1:19">
      <c r="A398" s="43" t="s">
        <v>440</v>
      </c>
      <c r="B398" s="43" t="s">
        <v>11</v>
      </c>
      <c r="C398" s="43" t="s">
        <v>22</v>
      </c>
      <c r="D398" s="44">
        <v>45945</v>
      </c>
      <c r="E398" s="44">
        <v>45947</v>
      </c>
      <c r="F398" s="44">
        <v>45949</v>
      </c>
      <c r="G398" s="44">
        <v>45952</v>
      </c>
      <c r="H398" s="45" t="str">
        <f t="shared" si="34"/>
        <v>Delivered</v>
      </c>
      <c r="I398" s="48">
        <f t="shared" si="30"/>
        <v>2</v>
      </c>
      <c r="J398" s="48">
        <f t="shared" si="31"/>
        <v>2</v>
      </c>
      <c r="K398" s="48">
        <f t="shared" si="32"/>
        <v>3</v>
      </c>
      <c r="L398" s="39" t="s">
        <v>9</v>
      </c>
      <c r="N398" s="44">
        <v>45963</v>
      </c>
      <c r="O398" s="39">
        <v>2</v>
      </c>
      <c r="P398" s="39">
        <v>2</v>
      </c>
      <c r="Q398" s="39">
        <v>3</v>
      </c>
      <c r="R398" s="39">
        <v>6</v>
      </c>
      <c r="S398" s="51" t="str">
        <f t="shared" si="33"/>
        <v>Detractor</v>
      </c>
    </row>
    <row r="399" ht="14.25" customHeight="1" spans="1:19">
      <c r="A399" s="43" t="s">
        <v>441</v>
      </c>
      <c r="B399" s="43" t="s">
        <v>14</v>
      </c>
      <c r="C399" s="43" t="s">
        <v>22</v>
      </c>
      <c r="D399" s="44">
        <v>45959</v>
      </c>
      <c r="E399" s="44">
        <v>45961</v>
      </c>
      <c r="F399" s="44">
        <v>45963</v>
      </c>
      <c r="G399" s="44">
        <v>45968</v>
      </c>
      <c r="H399" s="45" t="str">
        <f t="shared" si="34"/>
        <v>Delivered</v>
      </c>
      <c r="I399" s="48">
        <f t="shared" si="30"/>
        <v>2</v>
      </c>
      <c r="J399" s="48">
        <f t="shared" si="31"/>
        <v>2</v>
      </c>
      <c r="K399" s="48">
        <f t="shared" si="32"/>
        <v>5</v>
      </c>
      <c r="L399" s="39" t="s">
        <v>9</v>
      </c>
      <c r="N399" s="44">
        <v>45983</v>
      </c>
      <c r="O399" s="39">
        <v>2</v>
      </c>
      <c r="P399" s="39">
        <v>2</v>
      </c>
      <c r="Q399" s="39">
        <v>5</v>
      </c>
      <c r="R399" s="39">
        <v>2</v>
      </c>
      <c r="S399" s="51" t="str">
        <f t="shared" si="33"/>
        <v>Detractor</v>
      </c>
    </row>
    <row r="400" ht="14.25" customHeight="1" spans="1:19">
      <c r="A400" s="43" t="s">
        <v>442</v>
      </c>
      <c r="B400" s="43" t="s">
        <v>13</v>
      </c>
      <c r="C400" s="43" t="s">
        <v>22</v>
      </c>
      <c r="D400" s="44">
        <v>45953</v>
      </c>
      <c r="E400" s="44">
        <v>45958</v>
      </c>
      <c r="F400" s="44">
        <v>45959</v>
      </c>
      <c r="G400" s="44">
        <v>45962</v>
      </c>
      <c r="H400" s="45" t="str">
        <f t="shared" si="34"/>
        <v>Delivered</v>
      </c>
      <c r="I400" s="48">
        <f t="shared" si="30"/>
        <v>5</v>
      </c>
      <c r="J400" s="48">
        <f t="shared" si="31"/>
        <v>1</v>
      </c>
      <c r="K400" s="48">
        <f t="shared" si="32"/>
        <v>3</v>
      </c>
      <c r="L400" s="39" t="s">
        <v>9</v>
      </c>
      <c r="N400" s="44">
        <v>45980</v>
      </c>
      <c r="O400" s="39">
        <v>5</v>
      </c>
      <c r="P400" s="39">
        <v>1</v>
      </c>
      <c r="Q400" s="39">
        <v>3</v>
      </c>
      <c r="R400" s="39">
        <v>6</v>
      </c>
      <c r="S400" s="51" t="str">
        <f t="shared" si="33"/>
        <v>Detractor</v>
      </c>
    </row>
    <row r="401" ht="14.25" customHeight="1" spans="1:19">
      <c r="A401" s="43" t="s">
        <v>443</v>
      </c>
      <c r="B401" s="43" t="s">
        <v>12</v>
      </c>
      <c r="C401" s="43" t="s">
        <v>22</v>
      </c>
      <c r="D401" s="44">
        <v>45946</v>
      </c>
      <c r="E401" s="44">
        <v>45948</v>
      </c>
      <c r="F401" s="44">
        <v>45949</v>
      </c>
      <c r="G401" s="44">
        <v>45956</v>
      </c>
      <c r="H401" s="45" t="str">
        <f t="shared" si="34"/>
        <v>Delivered</v>
      </c>
      <c r="I401" s="48">
        <f t="shared" si="30"/>
        <v>2</v>
      </c>
      <c r="J401" s="48">
        <f t="shared" si="31"/>
        <v>1</v>
      </c>
      <c r="K401" s="48">
        <f t="shared" si="32"/>
        <v>7</v>
      </c>
      <c r="L401" s="39" t="s">
        <v>9</v>
      </c>
      <c r="N401" s="44">
        <v>45978</v>
      </c>
      <c r="O401" s="39">
        <v>2</v>
      </c>
      <c r="P401" s="39">
        <v>1</v>
      </c>
      <c r="Q401" s="39">
        <v>7</v>
      </c>
      <c r="R401" s="39">
        <v>7</v>
      </c>
      <c r="S401" s="51" t="str">
        <f t="shared" si="33"/>
        <v>Passive</v>
      </c>
    </row>
    <row r="402" ht="14.25" customHeight="1" spans="1:19">
      <c r="A402" s="43" t="s">
        <v>444</v>
      </c>
      <c r="B402" s="43" t="s">
        <v>13</v>
      </c>
      <c r="C402" s="43" t="s">
        <v>22</v>
      </c>
      <c r="D402" s="44">
        <v>45934</v>
      </c>
      <c r="E402" s="44">
        <v>45938</v>
      </c>
      <c r="F402" s="44">
        <v>45943</v>
      </c>
      <c r="G402" s="44">
        <v>45950</v>
      </c>
      <c r="H402" s="45" t="str">
        <f t="shared" si="34"/>
        <v>Delivered</v>
      </c>
      <c r="I402" s="48">
        <f t="shared" si="30"/>
        <v>4</v>
      </c>
      <c r="J402" s="48">
        <f t="shared" si="31"/>
        <v>5</v>
      </c>
      <c r="K402" s="48">
        <f t="shared" si="32"/>
        <v>7</v>
      </c>
      <c r="L402" s="39" t="s">
        <v>9</v>
      </c>
      <c r="N402" s="44">
        <v>45964</v>
      </c>
      <c r="O402" s="39">
        <v>4</v>
      </c>
      <c r="P402" s="39">
        <v>5</v>
      </c>
      <c r="Q402" s="39">
        <v>7</v>
      </c>
      <c r="R402" s="39">
        <v>1</v>
      </c>
      <c r="S402" s="51" t="str">
        <f t="shared" si="33"/>
        <v>Detractor</v>
      </c>
    </row>
    <row r="403" ht="14.25" customHeight="1" spans="1:19">
      <c r="A403" s="43" t="s">
        <v>445</v>
      </c>
      <c r="B403" s="43" t="s">
        <v>11</v>
      </c>
      <c r="C403" s="43" t="s">
        <v>22</v>
      </c>
      <c r="D403" s="44">
        <v>45931</v>
      </c>
      <c r="E403" s="44">
        <v>45932</v>
      </c>
      <c r="F403" s="44">
        <v>45933</v>
      </c>
      <c r="G403" s="44">
        <v>45936</v>
      </c>
      <c r="H403" s="45" t="str">
        <f t="shared" si="34"/>
        <v>Delivered</v>
      </c>
      <c r="I403" s="48">
        <f t="shared" si="30"/>
        <v>1</v>
      </c>
      <c r="J403" s="48">
        <f t="shared" si="31"/>
        <v>1</v>
      </c>
      <c r="K403" s="48">
        <f t="shared" si="32"/>
        <v>3</v>
      </c>
      <c r="L403" s="39" t="s">
        <v>9</v>
      </c>
      <c r="N403" s="44">
        <v>45965</v>
      </c>
      <c r="O403" s="39">
        <v>1</v>
      </c>
      <c r="P403" s="39">
        <v>1</v>
      </c>
      <c r="Q403" s="39">
        <v>3</v>
      </c>
      <c r="R403" s="39">
        <v>8</v>
      </c>
      <c r="S403" s="51" t="str">
        <f t="shared" si="33"/>
        <v>Passive</v>
      </c>
    </row>
    <row r="404" ht="14.25" customHeight="1" spans="1:19">
      <c r="A404" s="43" t="s">
        <v>446</v>
      </c>
      <c r="B404" s="43" t="s">
        <v>12</v>
      </c>
      <c r="C404" s="43" t="s">
        <v>22</v>
      </c>
      <c r="D404" s="44">
        <v>45951</v>
      </c>
      <c r="E404" s="44">
        <v>45955</v>
      </c>
      <c r="F404" s="44">
        <v>45959</v>
      </c>
      <c r="G404" s="44">
        <v>45961</v>
      </c>
      <c r="H404" s="45" t="str">
        <f t="shared" si="34"/>
        <v>Delivered</v>
      </c>
      <c r="I404" s="48">
        <f t="shared" si="30"/>
        <v>4</v>
      </c>
      <c r="J404" s="48">
        <f t="shared" si="31"/>
        <v>4</v>
      </c>
      <c r="K404" s="48">
        <f t="shared" si="32"/>
        <v>2</v>
      </c>
      <c r="L404" s="39" t="s">
        <v>9</v>
      </c>
      <c r="N404" s="44">
        <v>45990</v>
      </c>
      <c r="O404" s="39">
        <v>4</v>
      </c>
      <c r="P404" s="39">
        <v>4</v>
      </c>
      <c r="Q404" s="39">
        <v>2</v>
      </c>
      <c r="R404" s="39">
        <v>7</v>
      </c>
      <c r="S404" s="51" t="str">
        <f t="shared" si="33"/>
        <v>Passive</v>
      </c>
    </row>
    <row r="405" ht="14.25" customHeight="1" spans="1:19">
      <c r="A405" s="43" t="s">
        <v>447</v>
      </c>
      <c r="B405" s="43" t="s">
        <v>13</v>
      </c>
      <c r="C405" s="43" t="s">
        <v>20</v>
      </c>
      <c r="D405" s="44">
        <v>45950</v>
      </c>
      <c r="H405" s="45" t="str">
        <f t="shared" si="34"/>
        <v>Cancelled</v>
      </c>
      <c r="I405" s="48">
        <f t="shared" si="30"/>
        <v>0</v>
      </c>
      <c r="J405" s="48">
        <f t="shared" si="31"/>
        <v>0</v>
      </c>
      <c r="K405" s="48">
        <f t="shared" si="32"/>
        <v>0</v>
      </c>
      <c r="L405" s="39" t="s">
        <v>10</v>
      </c>
      <c r="M405" s="39" t="s">
        <v>49</v>
      </c>
      <c r="S405" s="51" t="str">
        <f t="shared" si="33"/>
        <v>Detractor</v>
      </c>
    </row>
    <row r="406" ht="14.25" customHeight="1" spans="1:19">
      <c r="A406" s="43" t="s">
        <v>448</v>
      </c>
      <c r="B406" s="43" t="s">
        <v>12</v>
      </c>
      <c r="C406" s="43" t="s">
        <v>22</v>
      </c>
      <c r="D406" s="44">
        <v>45956</v>
      </c>
      <c r="E406" s="44">
        <v>45959</v>
      </c>
      <c r="F406" s="44">
        <v>45964</v>
      </c>
      <c r="G406" s="44">
        <v>45970</v>
      </c>
      <c r="H406" s="45" t="str">
        <f t="shared" si="34"/>
        <v>Delivered</v>
      </c>
      <c r="I406" s="48">
        <f t="shared" si="30"/>
        <v>3</v>
      </c>
      <c r="J406" s="48">
        <f t="shared" si="31"/>
        <v>5</v>
      </c>
      <c r="K406" s="48">
        <f t="shared" si="32"/>
        <v>6</v>
      </c>
      <c r="L406" s="39" t="s">
        <v>10</v>
      </c>
      <c r="M406" s="39" t="s">
        <v>42</v>
      </c>
      <c r="O406" s="39">
        <v>3</v>
      </c>
      <c r="P406" s="39">
        <v>5</v>
      </c>
      <c r="Q406" s="39">
        <v>6</v>
      </c>
      <c r="S406" s="51" t="str">
        <f t="shared" si="33"/>
        <v>Detractor</v>
      </c>
    </row>
    <row r="407" ht="14.25" customHeight="1" spans="1:19">
      <c r="A407" s="43" t="s">
        <v>449</v>
      </c>
      <c r="B407" s="43" t="s">
        <v>11</v>
      </c>
      <c r="C407" s="43" t="s">
        <v>22</v>
      </c>
      <c r="D407" s="44">
        <v>45938</v>
      </c>
      <c r="E407" s="44">
        <v>45940</v>
      </c>
      <c r="F407" s="44">
        <v>45941</v>
      </c>
      <c r="G407" s="44">
        <v>45947</v>
      </c>
      <c r="H407" s="45" t="str">
        <f t="shared" si="34"/>
        <v>Delivered</v>
      </c>
      <c r="I407" s="48">
        <f t="shared" si="30"/>
        <v>2</v>
      </c>
      <c r="J407" s="48">
        <f t="shared" si="31"/>
        <v>1</v>
      </c>
      <c r="K407" s="48">
        <f t="shared" si="32"/>
        <v>6</v>
      </c>
      <c r="L407" s="39" t="s">
        <v>9</v>
      </c>
      <c r="N407" s="44">
        <v>45969</v>
      </c>
      <c r="O407" s="39">
        <v>2</v>
      </c>
      <c r="P407" s="39">
        <v>1</v>
      </c>
      <c r="Q407" s="39">
        <v>6</v>
      </c>
      <c r="R407" s="39">
        <v>7</v>
      </c>
      <c r="S407" s="51" t="str">
        <f t="shared" si="33"/>
        <v>Passive</v>
      </c>
    </row>
    <row r="408" ht="14.25" customHeight="1" spans="1:19">
      <c r="A408" s="43" t="s">
        <v>450</v>
      </c>
      <c r="B408" s="43" t="s">
        <v>14</v>
      </c>
      <c r="C408" s="43" t="s">
        <v>21</v>
      </c>
      <c r="D408" s="44">
        <v>45953</v>
      </c>
      <c r="E408" s="44">
        <v>45957</v>
      </c>
      <c r="F408" s="44">
        <v>45959</v>
      </c>
      <c r="G408" s="44">
        <v>45961</v>
      </c>
      <c r="H408" s="45" t="str">
        <f t="shared" si="34"/>
        <v>Delivered</v>
      </c>
      <c r="I408" s="48">
        <f t="shared" si="30"/>
        <v>4</v>
      </c>
      <c r="J408" s="48">
        <f t="shared" si="31"/>
        <v>2</v>
      </c>
      <c r="K408" s="48">
        <f t="shared" si="32"/>
        <v>2</v>
      </c>
      <c r="L408" s="39" t="s">
        <v>9</v>
      </c>
      <c r="N408" s="44">
        <v>45972</v>
      </c>
      <c r="O408" s="39">
        <v>4</v>
      </c>
      <c r="P408" s="39">
        <v>2</v>
      </c>
      <c r="Q408" s="39">
        <v>2</v>
      </c>
      <c r="R408" s="39">
        <v>7</v>
      </c>
      <c r="S408" s="51" t="str">
        <f t="shared" si="33"/>
        <v>Passive</v>
      </c>
    </row>
    <row r="409" ht="14.25" customHeight="1" spans="1:19">
      <c r="A409" s="43" t="s">
        <v>451</v>
      </c>
      <c r="B409" s="43" t="s">
        <v>11</v>
      </c>
      <c r="C409" s="43" t="s">
        <v>20</v>
      </c>
      <c r="D409" s="44">
        <v>45936</v>
      </c>
      <c r="H409" s="45" t="str">
        <f t="shared" si="34"/>
        <v>Cancelled</v>
      </c>
      <c r="I409" s="48">
        <f t="shared" si="30"/>
        <v>0</v>
      </c>
      <c r="J409" s="48">
        <f t="shared" si="31"/>
        <v>0</v>
      </c>
      <c r="K409" s="48">
        <f t="shared" si="32"/>
        <v>0</v>
      </c>
      <c r="L409" s="39" t="s">
        <v>10</v>
      </c>
      <c r="M409" s="39" t="s">
        <v>42</v>
      </c>
      <c r="S409" s="51" t="str">
        <f t="shared" si="33"/>
        <v>Detractor</v>
      </c>
    </row>
    <row r="410" ht="14.25" customHeight="1" spans="1:19">
      <c r="A410" s="43" t="s">
        <v>452</v>
      </c>
      <c r="B410" s="43" t="s">
        <v>11</v>
      </c>
      <c r="C410" s="43" t="s">
        <v>21</v>
      </c>
      <c r="D410" s="44">
        <v>45940</v>
      </c>
      <c r="E410" s="44">
        <v>45945</v>
      </c>
      <c r="F410" s="44">
        <v>45946</v>
      </c>
      <c r="G410" s="44">
        <v>45952</v>
      </c>
      <c r="H410" s="45" t="str">
        <f t="shared" si="34"/>
        <v>Delivered</v>
      </c>
      <c r="I410" s="48">
        <f t="shared" si="30"/>
        <v>5</v>
      </c>
      <c r="J410" s="48">
        <f t="shared" si="31"/>
        <v>1</v>
      </c>
      <c r="K410" s="48">
        <f t="shared" si="32"/>
        <v>6</v>
      </c>
      <c r="L410" s="39" t="s">
        <v>10</v>
      </c>
      <c r="M410" s="39" t="s">
        <v>42</v>
      </c>
      <c r="O410" s="39">
        <v>5</v>
      </c>
      <c r="P410" s="39">
        <v>1</v>
      </c>
      <c r="Q410" s="39">
        <v>6</v>
      </c>
      <c r="S410" s="51" t="str">
        <f t="shared" si="33"/>
        <v>Detractor</v>
      </c>
    </row>
    <row r="411" ht="14.25" customHeight="1" spans="1:19">
      <c r="A411" s="43" t="s">
        <v>453</v>
      </c>
      <c r="B411" s="43" t="s">
        <v>11</v>
      </c>
      <c r="C411" s="43" t="s">
        <v>21</v>
      </c>
      <c r="D411" s="44">
        <v>45948</v>
      </c>
      <c r="E411" s="44">
        <v>45951</v>
      </c>
      <c r="F411" s="44">
        <v>45955</v>
      </c>
      <c r="G411" s="44">
        <v>45962</v>
      </c>
      <c r="H411" s="45" t="str">
        <f t="shared" si="34"/>
        <v>Delivered</v>
      </c>
      <c r="I411" s="48">
        <f t="shared" si="30"/>
        <v>3</v>
      </c>
      <c r="J411" s="48">
        <f t="shared" si="31"/>
        <v>4</v>
      </c>
      <c r="K411" s="48">
        <f t="shared" si="32"/>
        <v>7</v>
      </c>
      <c r="L411" s="39" t="s">
        <v>9</v>
      </c>
      <c r="N411" s="44">
        <v>45984</v>
      </c>
      <c r="O411" s="39">
        <v>3</v>
      </c>
      <c r="P411" s="39">
        <v>4</v>
      </c>
      <c r="Q411" s="39">
        <v>7</v>
      </c>
      <c r="R411" s="39">
        <v>1</v>
      </c>
      <c r="S411" s="51" t="str">
        <f t="shared" si="33"/>
        <v>Detractor</v>
      </c>
    </row>
    <row r="412" ht="14.25" customHeight="1" spans="1:19">
      <c r="A412" s="43" t="s">
        <v>454</v>
      </c>
      <c r="B412" s="43" t="s">
        <v>11</v>
      </c>
      <c r="C412" s="43" t="s">
        <v>21</v>
      </c>
      <c r="D412" s="44">
        <v>45931</v>
      </c>
      <c r="E412" s="44">
        <v>45935</v>
      </c>
      <c r="F412" s="44">
        <v>45939</v>
      </c>
      <c r="G412" s="44">
        <v>45942</v>
      </c>
      <c r="H412" s="45" t="str">
        <f t="shared" si="34"/>
        <v>Delivered</v>
      </c>
      <c r="I412" s="48">
        <f t="shared" si="30"/>
        <v>4</v>
      </c>
      <c r="J412" s="48">
        <f t="shared" si="31"/>
        <v>4</v>
      </c>
      <c r="K412" s="48">
        <f t="shared" si="32"/>
        <v>3</v>
      </c>
      <c r="L412" s="39" t="s">
        <v>9</v>
      </c>
      <c r="N412" s="44">
        <v>45962</v>
      </c>
      <c r="O412" s="39">
        <v>4</v>
      </c>
      <c r="P412" s="39">
        <v>4</v>
      </c>
      <c r="Q412" s="39">
        <v>3</v>
      </c>
      <c r="R412" s="39">
        <v>1</v>
      </c>
      <c r="S412" s="51" t="str">
        <f t="shared" si="33"/>
        <v>Detractor</v>
      </c>
    </row>
    <row r="413" ht="14.25" customHeight="1" spans="1:19">
      <c r="A413" s="43" t="s">
        <v>455</v>
      </c>
      <c r="B413" s="43" t="s">
        <v>14</v>
      </c>
      <c r="C413" s="43" t="s">
        <v>22</v>
      </c>
      <c r="D413" s="44">
        <v>45948</v>
      </c>
      <c r="E413" s="44">
        <v>45950</v>
      </c>
      <c r="F413" s="44">
        <v>45952</v>
      </c>
      <c r="G413" s="44">
        <v>45957</v>
      </c>
      <c r="H413" s="45" t="str">
        <f t="shared" si="34"/>
        <v>Delivered</v>
      </c>
      <c r="I413" s="48">
        <f t="shared" si="30"/>
        <v>2</v>
      </c>
      <c r="J413" s="48">
        <f t="shared" si="31"/>
        <v>2</v>
      </c>
      <c r="K413" s="48">
        <f t="shared" si="32"/>
        <v>5</v>
      </c>
      <c r="L413" s="39" t="s">
        <v>9</v>
      </c>
      <c r="N413" s="44">
        <v>45974</v>
      </c>
      <c r="O413" s="39">
        <v>2</v>
      </c>
      <c r="P413" s="39">
        <v>2</v>
      </c>
      <c r="Q413" s="39">
        <v>5</v>
      </c>
      <c r="R413" s="39">
        <v>10</v>
      </c>
      <c r="S413" s="51" t="str">
        <f t="shared" si="33"/>
        <v>Promoter</v>
      </c>
    </row>
    <row r="414" ht="14.25" customHeight="1" spans="1:19">
      <c r="A414" s="43" t="s">
        <v>456</v>
      </c>
      <c r="B414" s="43" t="s">
        <v>14</v>
      </c>
      <c r="C414" s="43" t="s">
        <v>21</v>
      </c>
      <c r="D414" s="44">
        <v>45944</v>
      </c>
      <c r="E414" s="44">
        <v>45949</v>
      </c>
      <c r="F414" s="44">
        <v>45954</v>
      </c>
      <c r="G414" s="44">
        <v>45958</v>
      </c>
      <c r="H414" s="45" t="str">
        <f t="shared" si="34"/>
        <v>Delivered</v>
      </c>
      <c r="I414" s="48">
        <f t="shared" si="30"/>
        <v>5</v>
      </c>
      <c r="J414" s="48">
        <f t="shared" si="31"/>
        <v>5</v>
      </c>
      <c r="K414" s="48">
        <f t="shared" si="32"/>
        <v>4</v>
      </c>
      <c r="L414" s="39" t="s">
        <v>9</v>
      </c>
      <c r="N414" s="44">
        <v>45969</v>
      </c>
      <c r="O414" s="39">
        <v>5</v>
      </c>
      <c r="P414" s="39">
        <v>5</v>
      </c>
      <c r="Q414" s="39">
        <v>4</v>
      </c>
      <c r="R414" s="39">
        <v>7</v>
      </c>
      <c r="S414" s="51" t="str">
        <f t="shared" si="33"/>
        <v>Passive</v>
      </c>
    </row>
    <row r="415" ht="14.25" customHeight="1" spans="1:19">
      <c r="A415" s="43" t="s">
        <v>457</v>
      </c>
      <c r="B415" s="43" t="s">
        <v>12</v>
      </c>
      <c r="C415" s="43" t="s">
        <v>21</v>
      </c>
      <c r="D415" s="44">
        <v>45933</v>
      </c>
      <c r="E415" s="44">
        <v>45935</v>
      </c>
      <c r="F415" s="44">
        <v>45937</v>
      </c>
      <c r="G415" s="44">
        <v>45944</v>
      </c>
      <c r="H415" s="45" t="str">
        <f t="shared" si="34"/>
        <v>Delivered</v>
      </c>
      <c r="I415" s="48">
        <f t="shared" si="30"/>
        <v>2</v>
      </c>
      <c r="J415" s="48">
        <f t="shared" si="31"/>
        <v>2</v>
      </c>
      <c r="K415" s="48">
        <f t="shared" si="32"/>
        <v>7</v>
      </c>
      <c r="L415" s="39" t="s">
        <v>9</v>
      </c>
      <c r="N415" s="44">
        <v>45969</v>
      </c>
      <c r="O415" s="39">
        <v>2</v>
      </c>
      <c r="P415" s="39">
        <v>2</v>
      </c>
      <c r="Q415" s="39">
        <v>7</v>
      </c>
      <c r="R415" s="39">
        <v>3</v>
      </c>
      <c r="S415" s="51" t="str">
        <f t="shared" si="33"/>
        <v>Detractor</v>
      </c>
    </row>
    <row r="416" ht="14.25" customHeight="1" spans="1:19">
      <c r="A416" s="43" t="s">
        <v>458</v>
      </c>
      <c r="B416" s="43" t="s">
        <v>13</v>
      </c>
      <c r="C416" s="43" t="s">
        <v>21</v>
      </c>
      <c r="D416" s="44">
        <v>45938</v>
      </c>
      <c r="E416" s="44">
        <v>45941</v>
      </c>
      <c r="F416" s="44">
        <v>45942</v>
      </c>
      <c r="G416" s="44">
        <v>45945</v>
      </c>
      <c r="H416" s="45" t="str">
        <f t="shared" si="34"/>
        <v>Delivered</v>
      </c>
      <c r="I416" s="48">
        <f t="shared" si="30"/>
        <v>3</v>
      </c>
      <c r="J416" s="48">
        <f t="shared" si="31"/>
        <v>1</v>
      </c>
      <c r="K416" s="48">
        <f t="shared" si="32"/>
        <v>3</v>
      </c>
      <c r="L416" s="39" t="s">
        <v>10</v>
      </c>
      <c r="M416" s="39" t="s">
        <v>117</v>
      </c>
      <c r="O416" s="39">
        <v>3</v>
      </c>
      <c r="P416" s="39">
        <v>1</v>
      </c>
      <c r="Q416" s="39">
        <v>3</v>
      </c>
      <c r="S416" s="51" t="str">
        <f t="shared" si="33"/>
        <v>Detractor</v>
      </c>
    </row>
    <row r="417" ht="14.25" customHeight="1" spans="1:19">
      <c r="A417" s="43" t="s">
        <v>459</v>
      </c>
      <c r="B417" s="43" t="s">
        <v>14</v>
      </c>
      <c r="C417" s="43" t="s">
        <v>21</v>
      </c>
      <c r="D417" s="44">
        <v>45957</v>
      </c>
      <c r="E417" s="44">
        <v>45961</v>
      </c>
      <c r="F417" s="44">
        <v>45963</v>
      </c>
      <c r="G417" s="44">
        <v>45970</v>
      </c>
      <c r="H417" s="45" t="str">
        <f t="shared" si="34"/>
        <v>Delivered</v>
      </c>
      <c r="I417" s="48">
        <f t="shared" si="30"/>
        <v>4</v>
      </c>
      <c r="J417" s="48">
        <f t="shared" si="31"/>
        <v>2</v>
      </c>
      <c r="K417" s="48">
        <f t="shared" si="32"/>
        <v>7</v>
      </c>
      <c r="L417" s="39" t="s">
        <v>9</v>
      </c>
      <c r="N417" s="44">
        <v>45988</v>
      </c>
      <c r="O417" s="39">
        <v>4</v>
      </c>
      <c r="P417" s="39">
        <v>2</v>
      </c>
      <c r="Q417" s="39">
        <v>7</v>
      </c>
      <c r="R417" s="39">
        <v>0</v>
      </c>
      <c r="S417" s="51" t="str">
        <f t="shared" si="33"/>
        <v>Detractor</v>
      </c>
    </row>
    <row r="418" ht="14.25" customHeight="1" spans="1:19">
      <c r="A418" s="43" t="s">
        <v>460</v>
      </c>
      <c r="B418" s="43" t="s">
        <v>14</v>
      </c>
      <c r="C418" s="43" t="s">
        <v>22</v>
      </c>
      <c r="D418" s="44">
        <v>45960</v>
      </c>
      <c r="E418" s="44">
        <v>45962</v>
      </c>
      <c r="F418" s="44">
        <v>45967</v>
      </c>
      <c r="G418" s="44">
        <v>45974</v>
      </c>
      <c r="H418" s="45" t="str">
        <f t="shared" si="34"/>
        <v>Delivered</v>
      </c>
      <c r="I418" s="48">
        <f t="shared" si="30"/>
        <v>2</v>
      </c>
      <c r="J418" s="48">
        <f t="shared" si="31"/>
        <v>5</v>
      </c>
      <c r="K418" s="48">
        <f t="shared" si="32"/>
        <v>7</v>
      </c>
      <c r="L418" s="39" t="s">
        <v>9</v>
      </c>
      <c r="N418" s="44">
        <v>45995</v>
      </c>
      <c r="O418" s="39">
        <v>2</v>
      </c>
      <c r="P418" s="39">
        <v>5</v>
      </c>
      <c r="Q418" s="39">
        <v>7</v>
      </c>
      <c r="R418" s="39">
        <v>4</v>
      </c>
      <c r="S418" s="51" t="str">
        <f t="shared" si="33"/>
        <v>Detractor</v>
      </c>
    </row>
    <row r="419" ht="14.25" customHeight="1" spans="1:19">
      <c r="A419" s="43" t="s">
        <v>461</v>
      </c>
      <c r="B419" s="43" t="s">
        <v>13</v>
      </c>
      <c r="C419" s="43" t="s">
        <v>22</v>
      </c>
      <c r="D419" s="44">
        <v>45934</v>
      </c>
      <c r="E419" s="44">
        <v>45937</v>
      </c>
      <c r="F419" s="44">
        <v>45940</v>
      </c>
      <c r="G419" s="44">
        <v>45943</v>
      </c>
      <c r="H419" s="45" t="str">
        <f t="shared" si="34"/>
        <v>Delivered</v>
      </c>
      <c r="I419" s="48">
        <f t="shared" si="30"/>
        <v>3</v>
      </c>
      <c r="J419" s="48">
        <f t="shared" si="31"/>
        <v>3</v>
      </c>
      <c r="K419" s="48">
        <f t="shared" si="32"/>
        <v>3</v>
      </c>
      <c r="L419" s="39" t="s">
        <v>9</v>
      </c>
      <c r="N419" s="44">
        <v>45953</v>
      </c>
      <c r="O419" s="39">
        <v>3</v>
      </c>
      <c r="P419" s="39">
        <v>3</v>
      </c>
      <c r="Q419" s="39">
        <v>3</v>
      </c>
      <c r="R419" s="39">
        <v>10</v>
      </c>
      <c r="S419" s="51" t="str">
        <f t="shared" si="33"/>
        <v>Promoter</v>
      </c>
    </row>
    <row r="420" ht="14.25" customHeight="1" spans="1:19">
      <c r="A420" s="43" t="s">
        <v>462</v>
      </c>
      <c r="B420" s="43" t="s">
        <v>14</v>
      </c>
      <c r="C420" s="43" t="s">
        <v>22</v>
      </c>
      <c r="D420" s="44">
        <v>45945</v>
      </c>
      <c r="E420" s="44">
        <v>45950</v>
      </c>
      <c r="F420" s="44">
        <v>45952</v>
      </c>
      <c r="G420" s="44">
        <v>45957</v>
      </c>
      <c r="H420" s="45" t="str">
        <f t="shared" si="34"/>
        <v>Delivered</v>
      </c>
      <c r="I420" s="48">
        <f t="shared" si="30"/>
        <v>5</v>
      </c>
      <c r="J420" s="48">
        <f t="shared" si="31"/>
        <v>2</v>
      </c>
      <c r="K420" s="48">
        <f t="shared" si="32"/>
        <v>5</v>
      </c>
      <c r="L420" s="39" t="s">
        <v>9</v>
      </c>
      <c r="N420" s="44">
        <v>45977</v>
      </c>
      <c r="O420" s="39">
        <v>5</v>
      </c>
      <c r="P420" s="39">
        <v>2</v>
      </c>
      <c r="Q420" s="39">
        <v>5</v>
      </c>
      <c r="R420" s="39">
        <v>9</v>
      </c>
      <c r="S420" s="51" t="str">
        <f t="shared" si="33"/>
        <v>Promoter</v>
      </c>
    </row>
    <row r="421" ht="14.25" customHeight="1" spans="1:19">
      <c r="A421" s="43" t="s">
        <v>463</v>
      </c>
      <c r="B421" s="43" t="s">
        <v>11</v>
      </c>
      <c r="C421" s="43" t="s">
        <v>22</v>
      </c>
      <c r="D421" s="44">
        <v>45961</v>
      </c>
      <c r="E421" s="44">
        <v>45965</v>
      </c>
      <c r="F421" s="44">
        <v>45970</v>
      </c>
      <c r="G421" s="44">
        <v>45976</v>
      </c>
      <c r="H421" s="45" t="str">
        <f t="shared" si="34"/>
        <v>Delivered</v>
      </c>
      <c r="I421" s="48">
        <f t="shared" si="30"/>
        <v>4</v>
      </c>
      <c r="J421" s="48">
        <f t="shared" si="31"/>
        <v>5</v>
      </c>
      <c r="K421" s="48">
        <f t="shared" si="32"/>
        <v>6</v>
      </c>
      <c r="L421" s="39" t="s">
        <v>9</v>
      </c>
      <c r="N421" s="44">
        <v>45995</v>
      </c>
      <c r="O421" s="39">
        <v>4</v>
      </c>
      <c r="P421" s="39">
        <v>5</v>
      </c>
      <c r="Q421" s="39">
        <v>6</v>
      </c>
      <c r="R421" s="39">
        <v>5</v>
      </c>
      <c r="S421" s="51" t="str">
        <f t="shared" si="33"/>
        <v>Detractor</v>
      </c>
    </row>
    <row r="422" ht="14.25" customHeight="1" spans="1:19">
      <c r="A422" s="43" t="s">
        <v>464</v>
      </c>
      <c r="B422" s="43" t="s">
        <v>11</v>
      </c>
      <c r="C422" s="43" t="s">
        <v>22</v>
      </c>
      <c r="D422" s="44">
        <v>45934</v>
      </c>
      <c r="E422" s="44">
        <v>45938</v>
      </c>
      <c r="F422" s="44">
        <v>45941</v>
      </c>
      <c r="G422" s="44">
        <v>45948</v>
      </c>
      <c r="H422" s="45" t="str">
        <f t="shared" si="34"/>
        <v>Delivered</v>
      </c>
      <c r="I422" s="48">
        <f t="shared" si="30"/>
        <v>4</v>
      </c>
      <c r="J422" s="48">
        <f t="shared" si="31"/>
        <v>3</v>
      </c>
      <c r="K422" s="48">
        <f t="shared" si="32"/>
        <v>7</v>
      </c>
      <c r="L422" s="39" t="s">
        <v>9</v>
      </c>
      <c r="N422" s="44">
        <v>45967</v>
      </c>
      <c r="O422" s="39">
        <v>4</v>
      </c>
      <c r="P422" s="39">
        <v>3</v>
      </c>
      <c r="Q422" s="39">
        <v>7</v>
      </c>
      <c r="R422" s="39">
        <v>1</v>
      </c>
      <c r="S422" s="51" t="str">
        <f t="shared" si="33"/>
        <v>Detractor</v>
      </c>
    </row>
    <row r="423" ht="14.25" customHeight="1" spans="1:19">
      <c r="A423" s="43" t="s">
        <v>465</v>
      </c>
      <c r="B423" s="43" t="s">
        <v>13</v>
      </c>
      <c r="C423" s="43" t="s">
        <v>21</v>
      </c>
      <c r="D423" s="44">
        <v>45951</v>
      </c>
      <c r="E423" s="44">
        <v>45954</v>
      </c>
      <c r="F423" s="44">
        <v>45959</v>
      </c>
      <c r="G423" s="44">
        <v>45964</v>
      </c>
      <c r="H423" s="45" t="str">
        <f t="shared" si="34"/>
        <v>Delivered</v>
      </c>
      <c r="I423" s="48">
        <f t="shared" si="30"/>
        <v>3</v>
      </c>
      <c r="J423" s="48">
        <f t="shared" si="31"/>
        <v>5</v>
      </c>
      <c r="K423" s="48">
        <f t="shared" si="32"/>
        <v>5</v>
      </c>
      <c r="L423" s="39" t="s">
        <v>9</v>
      </c>
      <c r="N423" s="44">
        <v>45982</v>
      </c>
      <c r="O423" s="39">
        <v>3</v>
      </c>
      <c r="P423" s="39">
        <v>5</v>
      </c>
      <c r="Q423" s="39">
        <v>5</v>
      </c>
      <c r="R423" s="39">
        <v>7</v>
      </c>
      <c r="S423" s="51" t="str">
        <f t="shared" si="33"/>
        <v>Passive</v>
      </c>
    </row>
    <row r="424" ht="14.25" customHeight="1" spans="1:19">
      <c r="A424" s="43" t="s">
        <v>466</v>
      </c>
      <c r="B424" s="43" t="s">
        <v>12</v>
      </c>
      <c r="C424" s="43" t="s">
        <v>22</v>
      </c>
      <c r="D424" s="44">
        <v>45957</v>
      </c>
      <c r="E424" s="44">
        <v>45961</v>
      </c>
      <c r="F424" s="44">
        <v>45966</v>
      </c>
      <c r="G424" s="44">
        <v>45969</v>
      </c>
      <c r="H424" s="45" t="str">
        <f t="shared" si="34"/>
        <v>Delivered</v>
      </c>
      <c r="I424" s="48">
        <f t="shared" si="30"/>
        <v>4</v>
      </c>
      <c r="J424" s="48">
        <f t="shared" si="31"/>
        <v>5</v>
      </c>
      <c r="K424" s="48">
        <f t="shared" si="32"/>
        <v>3</v>
      </c>
      <c r="L424" s="39" t="s">
        <v>9</v>
      </c>
      <c r="N424" s="44">
        <v>45994</v>
      </c>
      <c r="O424" s="39">
        <v>4</v>
      </c>
      <c r="P424" s="39">
        <v>5</v>
      </c>
      <c r="Q424" s="39">
        <v>3</v>
      </c>
      <c r="R424" s="39">
        <v>2</v>
      </c>
      <c r="S424" s="51" t="str">
        <f t="shared" si="33"/>
        <v>Detractor</v>
      </c>
    </row>
    <row r="425" ht="14.25" customHeight="1" spans="1:19">
      <c r="A425" s="43" t="s">
        <v>467</v>
      </c>
      <c r="B425" s="43" t="s">
        <v>12</v>
      </c>
      <c r="C425" s="43" t="s">
        <v>20</v>
      </c>
      <c r="D425" s="44">
        <v>45935</v>
      </c>
      <c r="H425" s="45" t="str">
        <f t="shared" si="34"/>
        <v>Cancelled</v>
      </c>
      <c r="I425" s="48">
        <f t="shared" si="30"/>
        <v>0</v>
      </c>
      <c r="J425" s="48">
        <f t="shared" si="31"/>
        <v>0</v>
      </c>
      <c r="K425" s="48">
        <f t="shared" si="32"/>
        <v>0</v>
      </c>
      <c r="L425" s="39" t="s">
        <v>10</v>
      </c>
      <c r="M425" s="39" t="s">
        <v>117</v>
      </c>
      <c r="S425" s="51" t="str">
        <f t="shared" si="33"/>
        <v>Detractor</v>
      </c>
    </row>
    <row r="426" ht="14.25" customHeight="1" spans="1:19">
      <c r="A426" s="43" t="s">
        <v>468</v>
      </c>
      <c r="B426" s="43" t="s">
        <v>13</v>
      </c>
      <c r="C426" s="43" t="s">
        <v>22</v>
      </c>
      <c r="D426" s="44">
        <v>45946</v>
      </c>
      <c r="E426" s="44">
        <v>45951</v>
      </c>
      <c r="F426" s="44">
        <v>45954</v>
      </c>
      <c r="G426" s="44">
        <v>45956</v>
      </c>
      <c r="H426" s="45" t="str">
        <f t="shared" si="34"/>
        <v>Delivered</v>
      </c>
      <c r="I426" s="48">
        <f t="shared" si="30"/>
        <v>5</v>
      </c>
      <c r="J426" s="48">
        <f t="shared" si="31"/>
        <v>3</v>
      </c>
      <c r="K426" s="48">
        <f t="shared" si="32"/>
        <v>2</v>
      </c>
      <c r="L426" s="39" t="s">
        <v>9</v>
      </c>
      <c r="N426" s="44">
        <v>45969</v>
      </c>
      <c r="O426" s="39">
        <v>5</v>
      </c>
      <c r="P426" s="39">
        <v>3</v>
      </c>
      <c r="Q426" s="39">
        <v>2</v>
      </c>
      <c r="R426" s="39">
        <v>3</v>
      </c>
      <c r="S426" s="51" t="str">
        <f t="shared" si="33"/>
        <v>Detractor</v>
      </c>
    </row>
    <row r="427" ht="14.25" customHeight="1" spans="1:19">
      <c r="A427" s="43" t="s">
        <v>469</v>
      </c>
      <c r="B427" s="43" t="s">
        <v>13</v>
      </c>
      <c r="C427" s="43" t="s">
        <v>21</v>
      </c>
      <c r="D427" s="44">
        <v>45960</v>
      </c>
      <c r="E427" s="44">
        <v>45965</v>
      </c>
      <c r="F427" s="44">
        <v>45967</v>
      </c>
      <c r="G427" s="44">
        <v>45969</v>
      </c>
      <c r="H427" s="45" t="str">
        <f t="shared" si="34"/>
        <v>Delivered</v>
      </c>
      <c r="I427" s="48">
        <f t="shared" si="30"/>
        <v>5</v>
      </c>
      <c r="J427" s="48">
        <f t="shared" si="31"/>
        <v>2</v>
      </c>
      <c r="K427" s="48">
        <f t="shared" si="32"/>
        <v>2</v>
      </c>
      <c r="L427" s="39" t="s">
        <v>9</v>
      </c>
      <c r="N427" s="44">
        <v>45986</v>
      </c>
      <c r="O427" s="39">
        <v>5</v>
      </c>
      <c r="P427" s="39">
        <v>2</v>
      </c>
      <c r="Q427" s="39">
        <v>2</v>
      </c>
      <c r="R427" s="39">
        <v>3</v>
      </c>
      <c r="S427" s="51" t="str">
        <f t="shared" si="33"/>
        <v>Detractor</v>
      </c>
    </row>
    <row r="428" ht="14.25" customHeight="1" spans="1:19">
      <c r="A428" s="43" t="s">
        <v>470</v>
      </c>
      <c r="B428" s="43" t="s">
        <v>11</v>
      </c>
      <c r="C428" s="43" t="s">
        <v>22</v>
      </c>
      <c r="D428" s="44">
        <v>45953</v>
      </c>
      <c r="E428" s="44">
        <v>45957</v>
      </c>
      <c r="F428" s="44">
        <v>45960</v>
      </c>
      <c r="G428" s="44">
        <v>45963</v>
      </c>
      <c r="H428" s="45" t="str">
        <f t="shared" si="34"/>
        <v>Delivered</v>
      </c>
      <c r="I428" s="48">
        <f t="shared" si="30"/>
        <v>4</v>
      </c>
      <c r="J428" s="48">
        <f t="shared" si="31"/>
        <v>3</v>
      </c>
      <c r="K428" s="48">
        <f t="shared" si="32"/>
        <v>3</v>
      </c>
      <c r="L428" s="39" t="s">
        <v>9</v>
      </c>
      <c r="N428" s="44">
        <v>45977</v>
      </c>
      <c r="O428" s="39">
        <v>4</v>
      </c>
      <c r="P428" s="39">
        <v>3</v>
      </c>
      <c r="Q428" s="39">
        <v>3</v>
      </c>
      <c r="R428" s="39">
        <v>6</v>
      </c>
      <c r="S428" s="51" t="str">
        <f t="shared" si="33"/>
        <v>Detractor</v>
      </c>
    </row>
    <row r="429" ht="14.25" customHeight="1" spans="1:19">
      <c r="A429" s="43" t="s">
        <v>471</v>
      </c>
      <c r="B429" s="43" t="s">
        <v>12</v>
      </c>
      <c r="C429" s="43" t="s">
        <v>22</v>
      </c>
      <c r="D429" s="44">
        <v>45940</v>
      </c>
      <c r="E429" s="44">
        <v>45942</v>
      </c>
      <c r="F429" s="44">
        <v>45944</v>
      </c>
      <c r="G429" s="44">
        <v>45946</v>
      </c>
      <c r="H429" s="45" t="str">
        <f t="shared" si="34"/>
        <v>Delivered</v>
      </c>
      <c r="I429" s="48">
        <f t="shared" si="30"/>
        <v>2</v>
      </c>
      <c r="J429" s="48">
        <f t="shared" si="31"/>
        <v>2</v>
      </c>
      <c r="K429" s="48">
        <f t="shared" si="32"/>
        <v>2</v>
      </c>
      <c r="L429" s="39" t="s">
        <v>9</v>
      </c>
      <c r="N429" s="44">
        <v>45965</v>
      </c>
      <c r="O429" s="39">
        <v>2</v>
      </c>
      <c r="P429" s="39">
        <v>2</v>
      </c>
      <c r="Q429" s="39">
        <v>2</v>
      </c>
      <c r="R429" s="39">
        <v>7</v>
      </c>
      <c r="S429" s="51" t="str">
        <f t="shared" si="33"/>
        <v>Passive</v>
      </c>
    </row>
    <row r="430" ht="14.25" customHeight="1" spans="1:19">
      <c r="A430" s="43" t="s">
        <v>472</v>
      </c>
      <c r="B430" s="43" t="s">
        <v>14</v>
      </c>
      <c r="C430" s="43" t="s">
        <v>22</v>
      </c>
      <c r="D430" s="44">
        <v>45947</v>
      </c>
      <c r="E430" s="44">
        <v>45949</v>
      </c>
      <c r="F430" s="44">
        <v>45954</v>
      </c>
      <c r="G430" s="44">
        <v>45960</v>
      </c>
      <c r="H430" s="45" t="str">
        <f t="shared" si="34"/>
        <v>Delivered</v>
      </c>
      <c r="I430" s="48">
        <f t="shared" si="30"/>
        <v>2</v>
      </c>
      <c r="J430" s="48">
        <f t="shared" si="31"/>
        <v>5</v>
      </c>
      <c r="K430" s="48">
        <f t="shared" si="32"/>
        <v>6</v>
      </c>
      <c r="L430" s="39" t="s">
        <v>9</v>
      </c>
      <c r="N430" s="44">
        <v>45984</v>
      </c>
      <c r="O430" s="39">
        <v>2</v>
      </c>
      <c r="P430" s="39">
        <v>5</v>
      </c>
      <c r="Q430" s="39">
        <v>6</v>
      </c>
      <c r="R430" s="39">
        <v>8</v>
      </c>
      <c r="S430" s="51" t="str">
        <f t="shared" si="33"/>
        <v>Passive</v>
      </c>
    </row>
    <row r="431" ht="14.25" customHeight="1" spans="1:19">
      <c r="A431" s="43" t="s">
        <v>473</v>
      </c>
      <c r="B431" s="43" t="s">
        <v>11</v>
      </c>
      <c r="C431" s="43" t="s">
        <v>21</v>
      </c>
      <c r="D431" s="44">
        <v>45953</v>
      </c>
      <c r="E431" s="44">
        <v>45958</v>
      </c>
      <c r="F431" s="44">
        <v>45960</v>
      </c>
      <c r="G431" s="44">
        <v>45967</v>
      </c>
      <c r="H431" s="45" t="str">
        <f t="shared" si="34"/>
        <v>Delivered</v>
      </c>
      <c r="I431" s="48">
        <f t="shared" si="30"/>
        <v>5</v>
      </c>
      <c r="J431" s="48">
        <f t="shared" si="31"/>
        <v>2</v>
      </c>
      <c r="K431" s="48">
        <f t="shared" si="32"/>
        <v>7</v>
      </c>
      <c r="L431" s="39" t="s">
        <v>9</v>
      </c>
      <c r="N431" s="44">
        <v>45987</v>
      </c>
      <c r="O431" s="39">
        <v>5</v>
      </c>
      <c r="P431" s="39">
        <v>2</v>
      </c>
      <c r="Q431" s="39">
        <v>7</v>
      </c>
      <c r="R431" s="39">
        <v>6</v>
      </c>
      <c r="S431" s="51" t="str">
        <f t="shared" si="33"/>
        <v>Detractor</v>
      </c>
    </row>
    <row r="432" ht="14.25" customHeight="1" spans="1:19">
      <c r="A432" s="43" t="s">
        <v>474</v>
      </c>
      <c r="B432" s="43" t="s">
        <v>13</v>
      </c>
      <c r="C432" s="43" t="s">
        <v>21</v>
      </c>
      <c r="D432" s="44">
        <v>45939</v>
      </c>
      <c r="E432" s="44">
        <v>45941</v>
      </c>
      <c r="F432" s="44">
        <v>45945</v>
      </c>
      <c r="G432" s="44">
        <v>45950</v>
      </c>
      <c r="H432" s="45" t="str">
        <f t="shared" si="34"/>
        <v>Delivered</v>
      </c>
      <c r="I432" s="48">
        <f t="shared" si="30"/>
        <v>2</v>
      </c>
      <c r="J432" s="48">
        <f t="shared" si="31"/>
        <v>4</v>
      </c>
      <c r="K432" s="48">
        <f t="shared" si="32"/>
        <v>5</v>
      </c>
      <c r="L432" s="39" t="s">
        <v>9</v>
      </c>
      <c r="N432" s="44">
        <v>45968</v>
      </c>
      <c r="O432" s="39">
        <v>2</v>
      </c>
      <c r="P432" s="39">
        <v>4</v>
      </c>
      <c r="Q432" s="39">
        <v>5</v>
      </c>
      <c r="R432" s="39">
        <v>10</v>
      </c>
      <c r="S432" s="51" t="str">
        <f t="shared" si="33"/>
        <v>Promoter</v>
      </c>
    </row>
    <row r="433" ht="14.25" customHeight="1" spans="1:19">
      <c r="A433" s="43" t="s">
        <v>475</v>
      </c>
      <c r="B433" s="43" t="s">
        <v>12</v>
      </c>
      <c r="C433" s="43" t="s">
        <v>21</v>
      </c>
      <c r="D433" s="44">
        <v>45944</v>
      </c>
      <c r="E433" s="44">
        <v>45947</v>
      </c>
      <c r="F433" s="44">
        <v>45950</v>
      </c>
      <c r="G433" s="44">
        <v>45954</v>
      </c>
      <c r="H433" s="45" t="str">
        <f t="shared" si="34"/>
        <v>Delivered</v>
      </c>
      <c r="I433" s="48">
        <f t="shared" si="30"/>
        <v>3</v>
      </c>
      <c r="J433" s="48">
        <f t="shared" si="31"/>
        <v>3</v>
      </c>
      <c r="K433" s="48">
        <f t="shared" si="32"/>
        <v>4</v>
      </c>
      <c r="L433" s="39" t="s">
        <v>9</v>
      </c>
      <c r="N433" s="44">
        <v>45977</v>
      </c>
      <c r="O433" s="39">
        <v>3</v>
      </c>
      <c r="P433" s="39">
        <v>3</v>
      </c>
      <c r="Q433" s="39">
        <v>4</v>
      </c>
      <c r="R433" s="39">
        <v>4</v>
      </c>
      <c r="S433" s="51" t="str">
        <f t="shared" si="33"/>
        <v>Detractor</v>
      </c>
    </row>
    <row r="434" ht="14.25" customHeight="1" spans="1:19">
      <c r="A434" s="43" t="s">
        <v>476</v>
      </c>
      <c r="B434" s="43" t="s">
        <v>14</v>
      </c>
      <c r="C434" s="43" t="s">
        <v>20</v>
      </c>
      <c r="D434" s="44">
        <v>45957</v>
      </c>
      <c r="H434" s="45" t="str">
        <f t="shared" si="34"/>
        <v>Cancelled</v>
      </c>
      <c r="I434" s="48">
        <f t="shared" si="30"/>
        <v>0</v>
      </c>
      <c r="J434" s="48">
        <f t="shared" si="31"/>
        <v>0</v>
      </c>
      <c r="K434" s="48">
        <f t="shared" si="32"/>
        <v>0</v>
      </c>
      <c r="L434" s="39" t="s">
        <v>10</v>
      </c>
      <c r="M434" s="39" t="s">
        <v>42</v>
      </c>
      <c r="S434" s="51" t="str">
        <f t="shared" si="33"/>
        <v>Detractor</v>
      </c>
    </row>
    <row r="435" ht="14.25" customHeight="1" spans="1:19">
      <c r="A435" s="43" t="s">
        <v>477</v>
      </c>
      <c r="B435" s="43" t="s">
        <v>14</v>
      </c>
      <c r="C435" s="43" t="s">
        <v>22</v>
      </c>
      <c r="D435" s="44">
        <v>45946</v>
      </c>
      <c r="E435" s="44">
        <v>45947</v>
      </c>
      <c r="F435" s="44">
        <v>45950</v>
      </c>
      <c r="G435" s="44">
        <v>45955</v>
      </c>
      <c r="H435" s="45" t="str">
        <f t="shared" si="34"/>
        <v>Delivered</v>
      </c>
      <c r="I435" s="48">
        <f t="shared" si="30"/>
        <v>1</v>
      </c>
      <c r="J435" s="48">
        <f t="shared" si="31"/>
        <v>3</v>
      </c>
      <c r="K435" s="48">
        <f t="shared" si="32"/>
        <v>5</v>
      </c>
      <c r="L435" s="39" t="s">
        <v>9</v>
      </c>
      <c r="N435" s="44">
        <v>45984</v>
      </c>
      <c r="O435" s="39">
        <v>1</v>
      </c>
      <c r="P435" s="39">
        <v>3</v>
      </c>
      <c r="Q435" s="39">
        <v>5</v>
      </c>
      <c r="R435" s="39">
        <v>1</v>
      </c>
      <c r="S435" s="51" t="str">
        <f t="shared" si="33"/>
        <v>Detractor</v>
      </c>
    </row>
    <row r="436" ht="14.25" customHeight="1" spans="1:19">
      <c r="A436" s="43" t="s">
        <v>478</v>
      </c>
      <c r="B436" s="43" t="s">
        <v>11</v>
      </c>
      <c r="C436" s="43" t="s">
        <v>21</v>
      </c>
      <c r="D436" s="44">
        <v>45946</v>
      </c>
      <c r="E436" s="44">
        <v>45950</v>
      </c>
      <c r="F436" s="44">
        <v>45951</v>
      </c>
      <c r="G436" s="44">
        <v>45955</v>
      </c>
      <c r="H436" s="45" t="str">
        <f t="shared" si="34"/>
        <v>Delivered</v>
      </c>
      <c r="I436" s="48">
        <f t="shared" si="30"/>
        <v>4</v>
      </c>
      <c r="J436" s="48">
        <f t="shared" si="31"/>
        <v>1</v>
      </c>
      <c r="K436" s="48">
        <f t="shared" si="32"/>
        <v>4</v>
      </c>
      <c r="L436" s="39" t="s">
        <v>9</v>
      </c>
      <c r="N436" s="44">
        <v>45985</v>
      </c>
      <c r="O436" s="39">
        <v>4</v>
      </c>
      <c r="P436" s="39">
        <v>1</v>
      </c>
      <c r="Q436" s="39">
        <v>4</v>
      </c>
      <c r="R436" s="39">
        <v>3</v>
      </c>
      <c r="S436" s="51" t="str">
        <f t="shared" si="33"/>
        <v>Detractor</v>
      </c>
    </row>
    <row r="437" ht="14.25" customHeight="1" spans="1:19">
      <c r="A437" s="43" t="s">
        <v>479</v>
      </c>
      <c r="B437" s="43" t="s">
        <v>12</v>
      </c>
      <c r="C437" s="43" t="s">
        <v>21</v>
      </c>
      <c r="D437" s="44">
        <v>45938</v>
      </c>
      <c r="E437" s="44">
        <v>45941</v>
      </c>
      <c r="F437" s="44">
        <v>45946</v>
      </c>
      <c r="G437" s="44">
        <v>45949</v>
      </c>
      <c r="H437" s="45" t="str">
        <f t="shared" si="34"/>
        <v>Delivered</v>
      </c>
      <c r="I437" s="48">
        <f t="shared" si="30"/>
        <v>3</v>
      </c>
      <c r="J437" s="48">
        <f t="shared" si="31"/>
        <v>5</v>
      </c>
      <c r="K437" s="48">
        <f t="shared" si="32"/>
        <v>3</v>
      </c>
      <c r="L437" s="39" t="s">
        <v>9</v>
      </c>
      <c r="N437" s="44">
        <v>45961</v>
      </c>
      <c r="O437" s="39">
        <v>3</v>
      </c>
      <c r="P437" s="39">
        <v>5</v>
      </c>
      <c r="Q437" s="39">
        <v>3</v>
      </c>
      <c r="R437" s="39">
        <v>7</v>
      </c>
      <c r="S437" s="51" t="str">
        <f t="shared" si="33"/>
        <v>Passive</v>
      </c>
    </row>
    <row r="438" ht="14.25" customHeight="1" spans="1:19">
      <c r="A438" s="43" t="s">
        <v>480</v>
      </c>
      <c r="B438" s="43" t="s">
        <v>12</v>
      </c>
      <c r="C438" s="43" t="s">
        <v>22</v>
      </c>
      <c r="D438" s="44">
        <v>45945</v>
      </c>
      <c r="E438" s="44">
        <v>45950</v>
      </c>
      <c r="F438" s="44">
        <v>45955</v>
      </c>
      <c r="G438" s="44">
        <v>45958</v>
      </c>
      <c r="H438" s="45" t="str">
        <f t="shared" si="34"/>
        <v>Delivered</v>
      </c>
      <c r="I438" s="48">
        <f t="shared" si="30"/>
        <v>5</v>
      </c>
      <c r="J438" s="48">
        <f t="shared" si="31"/>
        <v>5</v>
      </c>
      <c r="K438" s="48">
        <f t="shared" si="32"/>
        <v>3</v>
      </c>
      <c r="L438" s="39" t="s">
        <v>9</v>
      </c>
      <c r="N438" s="44">
        <v>45974</v>
      </c>
      <c r="O438" s="39">
        <v>5</v>
      </c>
      <c r="P438" s="39">
        <v>5</v>
      </c>
      <c r="Q438" s="39">
        <v>3</v>
      </c>
      <c r="R438" s="39">
        <v>3</v>
      </c>
      <c r="S438" s="51" t="str">
        <f t="shared" si="33"/>
        <v>Detractor</v>
      </c>
    </row>
    <row r="439" ht="14.25" customHeight="1" spans="1:19">
      <c r="A439" s="43" t="s">
        <v>481</v>
      </c>
      <c r="B439" s="43" t="s">
        <v>13</v>
      </c>
      <c r="C439" s="43" t="s">
        <v>21</v>
      </c>
      <c r="D439" s="44">
        <v>45948</v>
      </c>
      <c r="E439" s="44">
        <v>45949</v>
      </c>
      <c r="F439" s="44">
        <v>45951</v>
      </c>
      <c r="G439" s="44">
        <v>45955</v>
      </c>
      <c r="H439" s="45" t="str">
        <f t="shared" si="34"/>
        <v>Delivered</v>
      </c>
      <c r="I439" s="48">
        <f t="shared" si="30"/>
        <v>1</v>
      </c>
      <c r="J439" s="48">
        <f t="shared" si="31"/>
        <v>2</v>
      </c>
      <c r="K439" s="48">
        <f t="shared" si="32"/>
        <v>4</v>
      </c>
      <c r="L439" s="39" t="s">
        <v>9</v>
      </c>
      <c r="N439" s="44">
        <v>45979</v>
      </c>
      <c r="O439" s="39">
        <v>1</v>
      </c>
      <c r="P439" s="39">
        <v>2</v>
      </c>
      <c r="Q439" s="39">
        <v>4</v>
      </c>
      <c r="R439" s="39">
        <v>8</v>
      </c>
      <c r="S439" s="51" t="str">
        <f t="shared" si="33"/>
        <v>Passive</v>
      </c>
    </row>
    <row r="440" ht="14.25" customHeight="1" spans="1:19">
      <c r="A440" s="43" t="s">
        <v>482</v>
      </c>
      <c r="B440" s="43" t="s">
        <v>12</v>
      </c>
      <c r="C440" s="43" t="s">
        <v>21</v>
      </c>
      <c r="D440" s="44">
        <v>45935</v>
      </c>
      <c r="E440" s="44">
        <v>45940</v>
      </c>
      <c r="F440" s="44">
        <v>45944</v>
      </c>
      <c r="G440" s="44">
        <v>45951</v>
      </c>
      <c r="H440" s="45" t="str">
        <f t="shared" si="34"/>
        <v>Delivered</v>
      </c>
      <c r="I440" s="48">
        <f t="shared" si="30"/>
        <v>5</v>
      </c>
      <c r="J440" s="48">
        <f t="shared" si="31"/>
        <v>4</v>
      </c>
      <c r="K440" s="48">
        <f t="shared" si="32"/>
        <v>7</v>
      </c>
      <c r="L440" s="39" t="s">
        <v>9</v>
      </c>
      <c r="N440" s="44">
        <v>45967</v>
      </c>
      <c r="O440" s="39">
        <v>5</v>
      </c>
      <c r="P440" s="39">
        <v>4</v>
      </c>
      <c r="Q440" s="39">
        <v>7</v>
      </c>
      <c r="R440" s="39">
        <v>7</v>
      </c>
      <c r="S440" s="51" t="str">
        <f t="shared" si="33"/>
        <v>Passive</v>
      </c>
    </row>
    <row r="441" ht="14.25" customHeight="1" spans="1:19">
      <c r="A441" s="43" t="s">
        <v>483</v>
      </c>
      <c r="B441" s="43" t="s">
        <v>12</v>
      </c>
      <c r="C441" s="43" t="s">
        <v>20</v>
      </c>
      <c r="D441" s="44">
        <v>45943</v>
      </c>
      <c r="H441" s="45" t="str">
        <f t="shared" si="34"/>
        <v>Cancelled</v>
      </c>
      <c r="I441" s="48">
        <f t="shared" si="30"/>
        <v>0</v>
      </c>
      <c r="J441" s="48">
        <f t="shared" si="31"/>
        <v>0</v>
      </c>
      <c r="K441" s="48">
        <f t="shared" si="32"/>
        <v>0</v>
      </c>
      <c r="L441" s="39" t="s">
        <v>10</v>
      </c>
      <c r="M441" s="39" t="s">
        <v>117</v>
      </c>
      <c r="S441" s="51" t="str">
        <f t="shared" si="33"/>
        <v>Detractor</v>
      </c>
    </row>
    <row r="442" ht="14.25" customHeight="1" spans="1:19">
      <c r="A442" s="43" t="s">
        <v>484</v>
      </c>
      <c r="B442" s="43" t="s">
        <v>11</v>
      </c>
      <c r="C442" s="43" t="s">
        <v>21</v>
      </c>
      <c r="D442" s="44">
        <v>45937</v>
      </c>
      <c r="E442" s="44">
        <v>45938</v>
      </c>
      <c r="F442" s="44">
        <v>45943</v>
      </c>
      <c r="G442" s="44">
        <v>45945</v>
      </c>
      <c r="H442" s="45" t="str">
        <f t="shared" si="34"/>
        <v>Delivered</v>
      </c>
      <c r="I442" s="48">
        <f t="shared" si="30"/>
        <v>1</v>
      </c>
      <c r="J442" s="48">
        <f t="shared" si="31"/>
        <v>5</v>
      </c>
      <c r="K442" s="48">
        <f t="shared" si="32"/>
        <v>2</v>
      </c>
      <c r="L442" s="39" t="s">
        <v>9</v>
      </c>
      <c r="N442" s="44">
        <v>45968</v>
      </c>
      <c r="O442" s="39">
        <v>1</v>
      </c>
      <c r="P442" s="39">
        <v>5</v>
      </c>
      <c r="Q442" s="39">
        <v>2</v>
      </c>
      <c r="R442" s="39">
        <v>1</v>
      </c>
      <c r="S442" s="51" t="str">
        <f t="shared" si="33"/>
        <v>Detractor</v>
      </c>
    </row>
    <row r="443" ht="14.25" customHeight="1" spans="1:19">
      <c r="A443" s="43" t="s">
        <v>485</v>
      </c>
      <c r="B443" s="43" t="s">
        <v>12</v>
      </c>
      <c r="C443" s="43" t="s">
        <v>22</v>
      </c>
      <c r="D443" s="44">
        <v>45960</v>
      </c>
      <c r="E443" s="44">
        <v>45963</v>
      </c>
      <c r="F443" s="44">
        <v>45967</v>
      </c>
      <c r="G443" s="44">
        <v>45970</v>
      </c>
      <c r="H443" s="45" t="str">
        <f t="shared" si="34"/>
        <v>Delivered</v>
      </c>
      <c r="I443" s="48">
        <f t="shared" si="30"/>
        <v>3</v>
      </c>
      <c r="J443" s="48">
        <f t="shared" si="31"/>
        <v>4</v>
      </c>
      <c r="K443" s="48">
        <f t="shared" si="32"/>
        <v>3</v>
      </c>
      <c r="L443" s="39" t="s">
        <v>9</v>
      </c>
      <c r="N443" s="44">
        <v>45995</v>
      </c>
      <c r="O443" s="39">
        <v>3</v>
      </c>
      <c r="P443" s="39">
        <v>4</v>
      </c>
      <c r="Q443" s="39">
        <v>3</v>
      </c>
      <c r="R443" s="39">
        <v>8</v>
      </c>
      <c r="S443" s="51" t="str">
        <f t="shared" si="33"/>
        <v>Passive</v>
      </c>
    </row>
    <row r="444" ht="14.25" customHeight="1" spans="1:19">
      <c r="A444" s="43" t="s">
        <v>486</v>
      </c>
      <c r="B444" s="43" t="s">
        <v>14</v>
      </c>
      <c r="C444" s="43" t="s">
        <v>20</v>
      </c>
      <c r="D444" s="44">
        <v>45950</v>
      </c>
      <c r="H444" s="45" t="str">
        <f t="shared" si="34"/>
        <v>Cancelled</v>
      </c>
      <c r="I444" s="48">
        <f t="shared" si="30"/>
        <v>0</v>
      </c>
      <c r="J444" s="48">
        <f t="shared" si="31"/>
        <v>0</v>
      </c>
      <c r="K444" s="48">
        <f t="shared" si="32"/>
        <v>0</v>
      </c>
      <c r="L444" s="39" t="s">
        <v>10</v>
      </c>
      <c r="M444" s="39" t="s">
        <v>49</v>
      </c>
      <c r="S444" s="51" t="str">
        <f t="shared" si="33"/>
        <v>Detractor</v>
      </c>
    </row>
    <row r="445" ht="14.25" customHeight="1" spans="1:19">
      <c r="A445" s="43" t="s">
        <v>487</v>
      </c>
      <c r="B445" s="43" t="s">
        <v>11</v>
      </c>
      <c r="C445" s="43" t="s">
        <v>22</v>
      </c>
      <c r="D445" s="44">
        <v>45947</v>
      </c>
      <c r="E445" s="44">
        <v>45948</v>
      </c>
      <c r="F445" s="44">
        <v>45949</v>
      </c>
      <c r="G445" s="44">
        <v>45955</v>
      </c>
      <c r="H445" s="45" t="str">
        <f t="shared" si="34"/>
        <v>Delivered</v>
      </c>
      <c r="I445" s="48">
        <f t="shared" si="30"/>
        <v>1</v>
      </c>
      <c r="J445" s="48">
        <f t="shared" si="31"/>
        <v>1</v>
      </c>
      <c r="K445" s="48">
        <f t="shared" si="32"/>
        <v>6</v>
      </c>
      <c r="L445" s="39" t="s">
        <v>9</v>
      </c>
      <c r="N445" s="44">
        <v>45981</v>
      </c>
      <c r="O445" s="39">
        <v>1</v>
      </c>
      <c r="P445" s="39">
        <v>1</v>
      </c>
      <c r="Q445" s="39">
        <v>6</v>
      </c>
      <c r="R445" s="39">
        <v>6</v>
      </c>
      <c r="S445" s="51" t="str">
        <f t="shared" si="33"/>
        <v>Detractor</v>
      </c>
    </row>
    <row r="446" ht="14.25" customHeight="1" spans="1:19">
      <c r="A446" s="43" t="s">
        <v>488</v>
      </c>
      <c r="B446" s="43" t="s">
        <v>11</v>
      </c>
      <c r="C446" s="43" t="s">
        <v>21</v>
      </c>
      <c r="D446" s="44">
        <v>45954</v>
      </c>
      <c r="E446" s="44">
        <v>45956</v>
      </c>
      <c r="F446" s="44">
        <v>45959</v>
      </c>
      <c r="G446" s="44">
        <v>45965</v>
      </c>
      <c r="H446" s="45" t="str">
        <f t="shared" si="34"/>
        <v>Delivered</v>
      </c>
      <c r="I446" s="48">
        <f t="shared" si="30"/>
        <v>2</v>
      </c>
      <c r="J446" s="48">
        <f t="shared" si="31"/>
        <v>3</v>
      </c>
      <c r="K446" s="48">
        <f t="shared" si="32"/>
        <v>6</v>
      </c>
      <c r="L446" s="39" t="s">
        <v>10</v>
      </c>
      <c r="M446" s="39" t="s">
        <v>42</v>
      </c>
      <c r="O446" s="39">
        <v>2</v>
      </c>
      <c r="P446" s="39">
        <v>3</v>
      </c>
      <c r="Q446" s="39">
        <v>6</v>
      </c>
      <c r="S446" s="51" t="str">
        <f t="shared" si="33"/>
        <v>Detractor</v>
      </c>
    </row>
    <row r="447" ht="14.25" customHeight="1" spans="1:19">
      <c r="A447" s="43" t="s">
        <v>489</v>
      </c>
      <c r="B447" s="43" t="s">
        <v>13</v>
      </c>
      <c r="C447" s="43" t="s">
        <v>21</v>
      </c>
      <c r="D447" s="44">
        <v>45959</v>
      </c>
      <c r="E447" s="44">
        <v>45962</v>
      </c>
      <c r="F447" s="44">
        <v>45966</v>
      </c>
      <c r="G447" s="44">
        <v>45972</v>
      </c>
      <c r="H447" s="45" t="str">
        <f t="shared" si="34"/>
        <v>Delivered</v>
      </c>
      <c r="I447" s="48">
        <f t="shared" si="30"/>
        <v>3</v>
      </c>
      <c r="J447" s="48">
        <f t="shared" si="31"/>
        <v>4</v>
      </c>
      <c r="K447" s="48">
        <f t="shared" si="32"/>
        <v>6</v>
      </c>
      <c r="L447" s="39" t="s">
        <v>9</v>
      </c>
      <c r="N447" s="44">
        <v>45993</v>
      </c>
      <c r="O447" s="39">
        <v>3</v>
      </c>
      <c r="P447" s="39">
        <v>4</v>
      </c>
      <c r="Q447" s="39">
        <v>6</v>
      </c>
      <c r="R447" s="39">
        <v>3</v>
      </c>
      <c r="S447" s="51" t="str">
        <f t="shared" si="33"/>
        <v>Detractor</v>
      </c>
    </row>
    <row r="448" ht="14.25" customHeight="1" spans="1:19">
      <c r="A448" s="43" t="s">
        <v>490</v>
      </c>
      <c r="B448" s="43" t="s">
        <v>12</v>
      </c>
      <c r="C448" s="43" t="s">
        <v>20</v>
      </c>
      <c r="D448" s="44">
        <v>45935</v>
      </c>
      <c r="H448" s="45" t="str">
        <f t="shared" si="34"/>
        <v>Cancelled</v>
      </c>
      <c r="I448" s="48">
        <f t="shared" si="30"/>
        <v>0</v>
      </c>
      <c r="J448" s="48">
        <f t="shared" si="31"/>
        <v>0</v>
      </c>
      <c r="K448" s="48">
        <f t="shared" si="32"/>
        <v>0</v>
      </c>
      <c r="L448" s="39" t="s">
        <v>10</v>
      </c>
      <c r="M448" s="39" t="s">
        <v>117</v>
      </c>
      <c r="S448" s="51" t="str">
        <f t="shared" si="33"/>
        <v>Detractor</v>
      </c>
    </row>
    <row r="449" ht="14.25" customHeight="1" spans="1:19">
      <c r="A449" s="43" t="s">
        <v>491</v>
      </c>
      <c r="B449" s="43" t="s">
        <v>13</v>
      </c>
      <c r="C449" s="43" t="s">
        <v>20</v>
      </c>
      <c r="D449" s="44">
        <v>45958</v>
      </c>
      <c r="H449" s="45" t="str">
        <f t="shared" si="34"/>
        <v>Cancelled</v>
      </c>
      <c r="I449" s="48">
        <f t="shared" si="30"/>
        <v>0</v>
      </c>
      <c r="J449" s="48">
        <f t="shared" si="31"/>
        <v>0</v>
      </c>
      <c r="K449" s="48">
        <f t="shared" si="32"/>
        <v>0</v>
      </c>
      <c r="L449" s="39" t="s">
        <v>10</v>
      </c>
      <c r="M449" s="39" t="s">
        <v>44</v>
      </c>
      <c r="S449" s="51" t="str">
        <f t="shared" si="33"/>
        <v>Detractor</v>
      </c>
    </row>
    <row r="450" ht="14.25" customHeight="1" spans="1:19">
      <c r="A450" s="43" t="s">
        <v>492</v>
      </c>
      <c r="B450" s="43" t="s">
        <v>14</v>
      </c>
      <c r="C450" s="43" t="s">
        <v>22</v>
      </c>
      <c r="D450" s="44">
        <v>45933</v>
      </c>
      <c r="E450" s="44">
        <v>45937</v>
      </c>
      <c r="F450" s="44">
        <v>45942</v>
      </c>
      <c r="G450" s="44">
        <v>45949</v>
      </c>
      <c r="H450" s="45" t="str">
        <f t="shared" si="34"/>
        <v>Delivered</v>
      </c>
      <c r="I450" s="48">
        <f t="shared" si="30"/>
        <v>4</v>
      </c>
      <c r="J450" s="48">
        <f t="shared" si="31"/>
        <v>5</v>
      </c>
      <c r="K450" s="48">
        <f t="shared" si="32"/>
        <v>7</v>
      </c>
      <c r="L450" s="39" t="s">
        <v>9</v>
      </c>
      <c r="N450" s="44">
        <v>45960</v>
      </c>
      <c r="O450" s="39">
        <v>4</v>
      </c>
      <c r="P450" s="39">
        <v>5</v>
      </c>
      <c r="Q450" s="39">
        <v>7</v>
      </c>
      <c r="R450" s="39">
        <v>3</v>
      </c>
      <c r="S450" s="51" t="str">
        <f t="shared" si="33"/>
        <v>Detractor</v>
      </c>
    </row>
    <row r="451" ht="14.25" customHeight="1" spans="1:19">
      <c r="A451" s="43" t="s">
        <v>493</v>
      </c>
      <c r="B451" s="43" t="s">
        <v>11</v>
      </c>
      <c r="C451" s="43" t="s">
        <v>21</v>
      </c>
      <c r="D451" s="44">
        <v>45939</v>
      </c>
      <c r="E451" s="44">
        <v>45944</v>
      </c>
      <c r="F451" s="44">
        <v>45947</v>
      </c>
      <c r="G451" s="44">
        <v>45953</v>
      </c>
      <c r="H451" s="45" t="str">
        <f t="shared" si="34"/>
        <v>Delivered</v>
      </c>
      <c r="I451" s="48">
        <f t="shared" ref="I451:I514" si="35">IF(E451&gt;D451,E451-D451,0)</f>
        <v>5</v>
      </c>
      <c r="J451" s="48">
        <f t="shared" ref="J451:J514" si="36">IF(F451&gt;E451,F451-E451,0)</f>
        <v>3</v>
      </c>
      <c r="K451" s="48">
        <f t="shared" ref="K451:K514" si="37">IF(G451&gt;F451,G451-F451,0)</f>
        <v>6</v>
      </c>
      <c r="L451" s="39" t="s">
        <v>9</v>
      </c>
      <c r="N451" s="44">
        <v>45979</v>
      </c>
      <c r="O451" s="39">
        <v>5</v>
      </c>
      <c r="P451" s="39">
        <v>3</v>
      </c>
      <c r="Q451" s="39">
        <v>6</v>
      </c>
      <c r="R451" s="39">
        <v>3</v>
      </c>
      <c r="S451" s="51" t="str">
        <f t="shared" ref="S451:S514" si="38">IF(R451&gt;=9,"Promoter",IF(R451&gt;=7,"Passive","Detractor"))</f>
        <v>Detractor</v>
      </c>
    </row>
    <row r="452" ht="14.25" customHeight="1" spans="1:19">
      <c r="A452" s="43" t="s">
        <v>494</v>
      </c>
      <c r="B452" s="43" t="s">
        <v>11</v>
      </c>
      <c r="C452" s="43" t="s">
        <v>22</v>
      </c>
      <c r="D452" s="44">
        <v>45955</v>
      </c>
      <c r="E452" s="44">
        <v>45957</v>
      </c>
      <c r="F452" s="44">
        <v>45961</v>
      </c>
      <c r="G452" s="44">
        <v>45965</v>
      </c>
      <c r="H452" s="45" t="str">
        <f t="shared" si="34"/>
        <v>Delivered</v>
      </c>
      <c r="I452" s="48">
        <f t="shared" si="35"/>
        <v>2</v>
      </c>
      <c r="J452" s="48">
        <f t="shared" si="36"/>
        <v>4</v>
      </c>
      <c r="K452" s="48">
        <f t="shared" si="37"/>
        <v>4</v>
      </c>
      <c r="L452" s="39" t="s">
        <v>9</v>
      </c>
      <c r="N452" s="44">
        <v>45980</v>
      </c>
      <c r="O452" s="39">
        <v>2</v>
      </c>
      <c r="P452" s="39">
        <v>4</v>
      </c>
      <c r="Q452" s="39">
        <v>4</v>
      </c>
      <c r="R452" s="39">
        <v>0</v>
      </c>
      <c r="S452" s="51" t="str">
        <f t="shared" si="38"/>
        <v>Detractor</v>
      </c>
    </row>
    <row r="453" ht="14.25" customHeight="1" spans="1:19">
      <c r="A453" s="43" t="s">
        <v>495</v>
      </c>
      <c r="B453" s="43" t="s">
        <v>11</v>
      </c>
      <c r="C453" s="43" t="s">
        <v>20</v>
      </c>
      <c r="D453" s="44">
        <v>45956</v>
      </c>
      <c r="H453" s="45" t="str">
        <f t="shared" ref="H453:H516" si="39">IF(G453&lt;&gt;"","Delivered",IF(F453&lt;&gt;"","Booked",IF(E453&lt;&gt;"","Pre-Booked",IF(D453&lt;&gt;"","Cancelled",""))))</f>
        <v>Cancelled</v>
      </c>
      <c r="I453" s="48">
        <f t="shared" si="35"/>
        <v>0</v>
      </c>
      <c r="J453" s="48">
        <f t="shared" si="36"/>
        <v>0</v>
      </c>
      <c r="K453" s="48">
        <f t="shared" si="37"/>
        <v>0</v>
      </c>
      <c r="L453" s="39" t="s">
        <v>10</v>
      </c>
      <c r="M453" s="39" t="s">
        <v>42</v>
      </c>
      <c r="S453" s="51" t="str">
        <f t="shared" si="38"/>
        <v>Detractor</v>
      </c>
    </row>
    <row r="454" ht="14.25" customHeight="1" spans="1:19">
      <c r="A454" s="43" t="s">
        <v>496</v>
      </c>
      <c r="B454" s="43" t="s">
        <v>14</v>
      </c>
      <c r="C454" s="43" t="s">
        <v>22</v>
      </c>
      <c r="D454" s="44">
        <v>45958</v>
      </c>
      <c r="E454" s="44">
        <v>45962</v>
      </c>
      <c r="F454" s="44">
        <v>45966</v>
      </c>
      <c r="G454" s="44">
        <v>45973</v>
      </c>
      <c r="H454" s="45" t="str">
        <f t="shared" si="39"/>
        <v>Delivered</v>
      </c>
      <c r="I454" s="48">
        <f t="shared" si="35"/>
        <v>4</v>
      </c>
      <c r="J454" s="48">
        <f t="shared" si="36"/>
        <v>4</v>
      </c>
      <c r="K454" s="48">
        <f t="shared" si="37"/>
        <v>7</v>
      </c>
      <c r="L454" s="39" t="s">
        <v>9</v>
      </c>
      <c r="N454" s="44">
        <v>45985</v>
      </c>
      <c r="O454" s="39">
        <v>4</v>
      </c>
      <c r="P454" s="39">
        <v>4</v>
      </c>
      <c r="Q454" s="39">
        <v>7</v>
      </c>
      <c r="R454" s="39">
        <v>4</v>
      </c>
      <c r="S454" s="51" t="str">
        <f t="shared" si="38"/>
        <v>Detractor</v>
      </c>
    </row>
    <row r="455" ht="14.25" customHeight="1" spans="1:19">
      <c r="A455" s="43" t="s">
        <v>497</v>
      </c>
      <c r="B455" s="43" t="s">
        <v>14</v>
      </c>
      <c r="C455" s="43" t="s">
        <v>20</v>
      </c>
      <c r="D455" s="44">
        <v>45944</v>
      </c>
      <c r="H455" s="45" t="str">
        <f t="shared" si="39"/>
        <v>Cancelled</v>
      </c>
      <c r="I455" s="48">
        <f t="shared" si="35"/>
        <v>0</v>
      </c>
      <c r="J455" s="48">
        <f t="shared" si="36"/>
        <v>0</v>
      </c>
      <c r="K455" s="48">
        <f t="shared" si="37"/>
        <v>0</v>
      </c>
      <c r="L455" s="39" t="s">
        <v>10</v>
      </c>
      <c r="M455" s="39" t="s">
        <v>42</v>
      </c>
      <c r="S455" s="51" t="str">
        <f t="shared" si="38"/>
        <v>Detractor</v>
      </c>
    </row>
    <row r="456" ht="14.25" customHeight="1" spans="1:19">
      <c r="A456" s="43" t="s">
        <v>498</v>
      </c>
      <c r="B456" s="43" t="s">
        <v>13</v>
      </c>
      <c r="C456" s="43" t="s">
        <v>20</v>
      </c>
      <c r="D456" s="44">
        <v>45941</v>
      </c>
      <c r="H456" s="45" t="str">
        <f t="shared" si="39"/>
        <v>Cancelled</v>
      </c>
      <c r="I456" s="48">
        <f t="shared" si="35"/>
        <v>0</v>
      </c>
      <c r="J456" s="48">
        <f t="shared" si="36"/>
        <v>0</v>
      </c>
      <c r="K456" s="48">
        <f t="shared" si="37"/>
        <v>0</v>
      </c>
      <c r="L456" s="39" t="s">
        <v>10</v>
      </c>
      <c r="M456" s="39" t="s">
        <v>49</v>
      </c>
      <c r="S456" s="51" t="str">
        <f t="shared" si="38"/>
        <v>Detractor</v>
      </c>
    </row>
    <row r="457" ht="14.25" customHeight="1" spans="1:19">
      <c r="A457" s="43" t="s">
        <v>499</v>
      </c>
      <c r="B457" s="43" t="s">
        <v>13</v>
      </c>
      <c r="C457" s="43" t="s">
        <v>22</v>
      </c>
      <c r="D457" s="44">
        <v>45960</v>
      </c>
      <c r="E457" s="44">
        <v>45961</v>
      </c>
      <c r="F457" s="44">
        <v>45963</v>
      </c>
      <c r="G457" s="44">
        <v>45965</v>
      </c>
      <c r="H457" s="45" t="str">
        <f t="shared" si="39"/>
        <v>Delivered</v>
      </c>
      <c r="I457" s="48">
        <f t="shared" si="35"/>
        <v>1</v>
      </c>
      <c r="J457" s="48">
        <f t="shared" si="36"/>
        <v>2</v>
      </c>
      <c r="K457" s="48">
        <f t="shared" si="37"/>
        <v>2</v>
      </c>
      <c r="L457" s="39" t="s">
        <v>9</v>
      </c>
      <c r="N457" s="44">
        <v>45984</v>
      </c>
      <c r="O457" s="39">
        <v>1</v>
      </c>
      <c r="P457" s="39">
        <v>2</v>
      </c>
      <c r="Q457" s="39">
        <v>2</v>
      </c>
      <c r="R457" s="39">
        <v>9</v>
      </c>
      <c r="S457" s="51" t="str">
        <f t="shared" si="38"/>
        <v>Promoter</v>
      </c>
    </row>
    <row r="458" ht="14.25" customHeight="1" spans="1:19">
      <c r="A458" s="43" t="s">
        <v>500</v>
      </c>
      <c r="B458" s="43" t="s">
        <v>13</v>
      </c>
      <c r="C458" s="43" t="s">
        <v>22</v>
      </c>
      <c r="D458" s="44">
        <v>45956</v>
      </c>
      <c r="E458" s="44">
        <v>45958</v>
      </c>
      <c r="F458" s="44">
        <v>45961</v>
      </c>
      <c r="G458" s="44">
        <v>45968</v>
      </c>
      <c r="H458" s="45" t="str">
        <f t="shared" si="39"/>
        <v>Delivered</v>
      </c>
      <c r="I458" s="48">
        <f t="shared" si="35"/>
        <v>2</v>
      </c>
      <c r="J458" s="48">
        <f t="shared" si="36"/>
        <v>3</v>
      </c>
      <c r="K458" s="48">
        <f t="shared" si="37"/>
        <v>7</v>
      </c>
      <c r="L458" s="39" t="s">
        <v>10</v>
      </c>
      <c r="M458" s="39" t="s">
        <v>79</v>
      </c>
      <c r="O458" s="39">
        <v>2</v>
      </c>
      <c r="P458" s="39">
        <v>3</v>
      </c>
      <c r="Q458" s="39">
        <v>7</v>
      </c>
      <c r="S458" s="51" t="str">
        <f t="shared" si="38"/>
        <v>Detractor</v>
      </c>
    </row>
    <row r="459" ht="14.25" customHeight="1" spans="1:19">
      <c r="A459" s="43" t="s">
        <v>501</v>
      </c>
      <c r="B459" s="43" t="s">
        <v>12</v>
      </c>
      <c r="C459" s="43" t="s">
        <v>22</v>
      </c>
      <c r="D459" s="44">
        <v>45947</v>
      </c>
      <c r="E459" s="44">
        <v>45951</v>
      </c>
      <c r="F459" s="44">
        <v>45955</v>
      </c>
      <c r="G459" s="44">
        <v>45959</v>
      </c>
      <c r="H459" s="45" t="str">
        <f t="shared" si="39"/>
        <v>Delivered</v>
      </c>
      <c r="I459" s="48">
        <f t="shared" si="35"/>
        <v>4</v>
      </c>
      <c r="J459" s="48">
        <f t="shared" si="36"/>
        <v>4</v>
      </c>
      <c r="K459" s="48">
        <f t="shared" si="37"/>
        <v>4</v>
      </c>
      <c r="L459" s="39" t="s">
        <v>9</v>
      </c>
      <c r="N459" s="44">
        <v>45985</v>
      </c>
      <c r="O459" s="39">
        <v>4</v>
      </c>
      <c r="P459" s="39">
        <v>4</v>
      </c>
      <c r="Q459" s="39">
        <v>4</v>
      </c>
      <c r="R459" s="39">
        <v>5</v>
      </c>
      <c r="S459" s="51" t="str">
        <f t="shared" si="38"/>
        <v>Detractor</v>
      </c>
    </row>
    <row r="460" ht="14.25" customHeight="1" spans="1:19">
      <c r="A460" s="43" t="s">
        <v>502</v>
      </c>
      <c r="B460" s="43" t="s">
        <v>11</v>
      </c>
      <c r="C460" s="43" t="s">
        <v>21</v>
      </c>
      <c r="D460" s="44">
        <v>45939</v>
      </c>
      <c r="E460" s="44">
        <v>45942</v>
      </c>
      <c r="F460" s="44">
        <v>45944</v>
      </c>
      <c r="G460" s="44">
        <v>45947</v>
      </c>
      <c r="H460" s="45" t="str">
        <f t="shared" si="39"/>
        <v>Delivered</v>
      </c>
      <c r="I460" s="48">
        <f t="shared" si="35"/>
        <v>3</v>
      </c>
      <c r="J460" s="48">
        <f t="shared" si="36"/>
        <v>2</v>
      </c>
      <c r="K460" s="48">
        <f t="shared" si="37"/>
        <v>3</v>
      </c>
      <c r="L460" s="39" t="s">
        <v>9</v>
      </c>
      <c r="N460" s="44">
        <v>45969</v>
      </c>
      <c r="O460" s="39">
        <v>3</v>
      </c>
      <c r="P460" s="39">
        <v>2</v>
      </c>
      <c r="Q460" s="39">
        <v>3</v>
      </c>
      <c r="R460" s="39">
        <v>5</v>
      </c>
      <c r="S460" s="51" t="str">
        <f t="shared" si="38"/>
        <v>Detractor</v>
      </c>
    </row>
    <row r="461" ht="14.25" customHeight="1" spans="1:19">
      <c r="A461" s="43" t="s">
        <v>503</v>
      </c>
      <c r="B461" s="43" t="s">
        <v>11</v>
      </c>
      <c r="C461" s="43" t="s">
        <v>22</v>
      </c>
      <c r="D461" s="44">
        <v>45957</v>
      </c>
      <c r="E461" s="44">
        <v>45958</v>
      </c>
      <c r="F461" s="44">
        <v>45963</v>
      </c>
      <c r="G461" s="44">
        <v>45969</v>
      </c>
      <c r="H461" s="45" t="str">
        <f t="shared" si="39"/>
        <v>Delivered</v>
      </c>
      <c r="I461" s="48">
        <f t="shared" si="35"/>
        <v>1</v>
      </c>
      <c r="J461" s="48">
        <f t="shared" si="36"/>
        <v>5</v>
      </c>
      <c r="K461" s="48">
        <f t="shared" si="37"/>
        <v>6</v>
      </c>
      <c r="L461" s="39" t="s">
        <v>9</v>
      </c>
      <c r="N461" s="44">
        <v>45983</v>
      </c>
      <c r="O461" s="39">
        <v>1</v>
      </c>
      <c r="P461" s="39">
        <v>5</v>
      </c>
      <c r="Q461" s="39">
        <v>6</v>
      </c>
      <c r="R461" s="39">
        <v>1</v>
      </c>
      <c r="S461" s="51" t="str">
        <f t="shared" si="38"/>
        <v>Detractor</v>
      </c>
    </row>
    <row r="462" ht="14.25" customHeight="1" spans="1:19">
      <c r="A462" s="43" t="s">
        <v>504</v>
      </c>
      <c r="B462" s="43" t="s">
        <v>13</v>
      </c>
      <c r="C462" s="43" t="s">
        <v>22</v>
      </c>
      <c r="D462" s="44">
        <v>45931</v>
      </c>
      <c r="E462" s="44">
        <v>45935</v>
      </c>
      <c r="F462" s="44">
        <v>45939</v>
      </c>
      <c r="G462" s="44">
        <v>45945</v>
      </c>
      <c r="H462" s="45" t="str">
        <f t="shared" si="39"/>
        <v>Delivered</v>
      </c>
      <c r="I462" s="48">
        <f t="shared" si="35"/>
        <v>4</v>
      </c>
      <c r="J462" s="48">
        <f t="shared" si="36"/>
        <v>4</v>
      </c>
      <c r="K462" s="48">
        <f t="shared" si="37"/>
        <v>6</v>
      </c>
      <c r="L462" s="39" t="s">
        <v>10</v>
      </c>
      <c r="M462" s="39" t="s">
        <v>79</v>
      </c>
      <c r="O462" s="39">
        <v>4</v>
      </c>
      <c r="P462" s="39">
        <v>4</v>
      </c>
      <c r="Q462" s="39">
        <v>6</v>
      </c>
      <c r="S462" s="51" t="str">
        <f t="shared" si="38"/>
        <v>Detractor</v>
      </c>
    </row>
    <row r="463" ht="14.25" customHeight="1" spans="1:19">
      <c r="A463" s="43" t="s">
        <v>505</v>
      </c>
      <c r="B463" s="43" t="s">
        <v>11</v>
      </c>
      <c r="C463" s="43" t="s">
        <v>20</v>
      </c>
      <c r="D463" s="44">
        <v>45940</v>
      </c>
      <c r="H463" s="45" t="str">
        <f t="shared" si="39"/>
        <v>Cancelled</v>
      </c>
      <c r="I463" s="48">
        <f t="shared" si="35"/>
        <v>0</v>
      </c>
      <c r="J463" s="48">
        <f t="shared" si="36"/>
        <v>0</v>
      </c>
      <c r="K463" s="48">
        <f t="shared" si="37"/>
        <v>0</v>
      </c>
      <c r="L463" s="39" t="s">
        <v>10</v>
      </c>
      <c r="M463" s="39" t="s">
        <v>49</v>
      </c>
      <c r="S463" s="51" t="str">
        <f t="shared" si="38"/>
        <v>Detractor</v>
      </c>
    </row>
    <row r="464" ht="14.25" customHeight="1" spans="1:19">
      <c r="A464" s="43" t="s">
        <v>506</v>
      </c>
      <c r="B464" s="43" t="s">
        <v>13</v>
      </c>
      <c r="C464" s="43" t="s">
        <v>20</v>
      </c>
      <c r="D464" s="44">
        <v>45954</v>
      </c>
      <c r="H464" s="45" t="str">
        <f t="shared" si="39"/>
        <v>Cancelled</v>
      </c>
      <c r="I464" s="48">
        <f t="shared" si="35"/>
        <v>0</v>
      </c>
      <c r="J464" s="48">
        <f t="shared" si="36"/>
        <v>0</v>
      </c>
      <c r="K464" s="48">
        <f t="shared" si="37"/>
        <v>0</v>
      </c>
      <c r="L464" s="39" t="s">
        <v>10</v>
      </c>
      <c r="M464" s="39" t="s">
        <v>49</v>
      </c>
      <c r="S464" s="51" t="str">
        <f t="shared" si="38"/>
        <v>Detractor</v>
      </c>
    </row>
    <row r="465" ht="14.25" customHeight="1" spans="1:19">
      <c r="A465" s="43" t="s">
        <v>507</v>
      </c>
      <c r="B465" s="43" t="s">
        <v>12</v>
      </c>
      <c r="C465" s="43" t="s">
        <v>22</v>
      </c>
      <c r="D465" s="44">
        <v>45940</v>
      </c>
      <c r="E465" s="44">
        <v>45941</v>
      </c>
      <c r="F465" s="44">
        <v>45943</v>
      </c>
      <c r="G465" s="44">
        <v>45949</v>
      </c>
      <c r="H465" s="45" t="str">
        <f t="shared" si="39"/>
        <v>Delivered</v>
      </c>
      <c r="I465" s="48">
        <f t="shared" si="35"/>
        <v>1</v>
      </c>
      <c r="J465" s="48">
        <f t="shared" si="36"/>
        <v>2</v>
      </c>
      <c r="K465" s="48">
        <f t="shared" si="37"/>
        <v>6</v>
      </c>
      <c r="L465" s="39" t="s">
        <v>9</v>
      </c>
      <c r="N465" s="44">
        <v>45975</v>
      </c>
      <c r="O465" s="39">
        <v>1</v>
      </c>
      <c r="P465" s="39">
        <v>2</v>
      </c>
      <c r="Q465" s="39">
        <v>6</v>
      </c>
      <c r="R465" s="39">
        <v>1</v>
      </c>
      <c r="S465" s="51" t="str">
        <f t="shared" si="38"/>
        <v>Detractor</v>
      </c>
    </row>
    <row r="466" ht="14.25" customHeight="1" spans="1:19">
      <c r="A466" s="43" t="s">
        <v>508</v>
      </c>
      <c r="B466" s="43" t="s">
        <v>12</v>
      </c>
      <c r="C466" s="43" t="s">
        <v>21</v>
      </c>
      <c r="D466" s="44">
        <v>45957</v>
      </c>
      <c r="E466" s="44">
        <v>45961</v>
      </c>
      <c r="F466" s="44">
        <v>45963</v>
      </c>
      <c r="G466" s="44">
        <v>45966</v>
      </c>
      <c r="H466" s="45" t="str">
        <f t="shared" si="39"/>
        <v>Delivered</v>
      </c>
      <c r="I466" s="48">
        <f t="shared" si="35"/>
        <v>4</v>
      </c>
      <c r="J466" s="48">
        <f t="shared" si="36"/>
        <v>2</v>
      </c>
      <c r="K466" s="48">
        <f t="shared" si="37"/>
        <v>3</v>
      </c>
      <c r="L466" s="39" t="s">
        <v>9</v>
      </c>
      <c r="N466" s="44">
        <v>45994</v>
      </c>
      <c r="O466" s="39">
        <v>4</v>
      </c>
      <c r="P466" s="39">
        <v>2</v>
      </c>
      <c r="Q466" s="39">
        <v>3</v>
      </c>
      <c r="R466" s="39">
        <v>4</v>
      </c>
      <c r="S466" s="51" t="str">
        <f t="shared" si="38"/>
        <v>Detractor</v>
      </c>
    </row>
    <row r="467" ht="14.25" customHeight="1" spans="1:19">
      <c r="A467" s="43" t="s">
        <v>509</v>
      </c>
      <c r="B467" s="43" t="s">
        <v>14</v>
      </c>
      <c r="C467" s="43" t="s">
        <v>21</v>
      </c>
      <c r="D467" s="44">
        <v>45949</v>
      </c>
      <c r="E467" s="44">
        <v>45954</v>
      </c>
      <c r="F467" s="44">
        <v>45957</v>
      </c>
      <c r="G467" s="44">
        <v>45964</v>
      </c>
      <c r="H467" s="45" t="str">
        <f t="shared" si="39"/>
        <v>Delivered</v>
      </c>
      <c r="I467" s="48">
        <f t="shared" si="35"/>
        <v>5</v>
      </c>
      <c r="J467" s="48">
        <f t="shared" si="36"/>
        <v>3</v>
      </c>
      <c r="K467" s="48">
        <f t="shared" si="37"/>
        <v>7</v>
      </c>
      <c r="L467" s="39" t="s">
        <v>9</v>
      </c>
      <c r="N467" s="44">
        <v>45974</v>
      </c>
      <c r="O467" s="39">
        <v>5</v>
      </c>
      <c r="P467" s="39">
        <v>3</v>
      </c>
      <c r="Q467" s="39">
        <v>7</v>
      </c>
      <c r="R467" s="39">
        <v>4</v>
      </c>
      <c r="S467" s="51" t="str">
        <f t="shared" si="38"/>
        <v>Detractor</v>
      </c>
    </row>
    <row r="468" ht="14.25" customHeight="1" spans="1:19">
      <c r="A468" s="43" t="s">
        <v>510</v>
      </c>
      <c r="B468" s="43" t="s">
        <v>12</v>
      </c>
      <c r="C468" s="43" t="s">
        <v>21</v>
      </c>
      <c r="D468" s="44">
        <v>45949</v>
      </c>
      <c r="E468" s="44">
        <v>45952</v>
      </c>
      <c r="F468" s="44">
        <v>45954</v>
      </c>
      <c r="G468" s="44">
        <v>45959</v>
      </c>
      <c r="H468" s="45" t="str">
        <f t="shared" si="39"/>
        <v>Delivered</v>
      </c>
      <c r="I468" s="48">
        <f t="shared" si="35"/>
        <v>3</v>
      </c>
      <c r="J468" s="48">
        <f t="shared" si="36"/>
        <v>2</v>
      </c>
      <c r="K468" s="48">
        <f t="shared" si="37"/>
        <v>5</v>
      </c>
      <c r="L468" s="39" t="s">
        <v>9</v>
      </c>
      <c r="N468" s="44">
        <v>45974</v>
      </c>
      <c r="O468" s="39">
        <v>3</v>
      </c>
      <c r="P468" s="39">
        <v>2</v>
      </c>
      <c r="Q468" s="39">
        <v>5</v>
      </c>
      <c r="R468" s="39">
        <v>1</v>
      </c>
      <c r="S468" s="51" t="str">
        <f t="shared" si="38"/>
        <v>Detractor</v>
      </c>
    </row>
    <row r="469" ht="14.25" customHeight="1" spans="1:19">
      <c r="A469" s="43" t="s">
        <v>511</v>
      </c>
      <c r="B469" s="43" t="s">
        <v>13</v>
      </c>
      <c r="C469" s="43" t="s">
        <v>22</v>
      </c>
      <c r="D469" s="44">
        <v>45952</v>
      </c>
      <c r="E469" s="44">
        <v>45954</v>
      </c>
      <c r="F469" s="44">
        <v>45958</v>
      </c>
      <c r="G469" s="44">
        <v>45962</v>
      </c>
      <c r="H469" s="45" t="str">
        <f t="shared" si="39"/>
        <v>Delivered</v>
      </c>
      <c r="I469" s="48">
        <f t="shared" si="35"/>
        <v>2</v>
      </c>
      <c r="J469" s="48">
        <f t="shared" si="36"/>
        <v>4</v>
      </c>
      <c r="K469" s="48">
        <f t="shared" si="37"/>
        <v>4</v>
      </c>
      <c r="L469" s="39" t="s">
        <v>9</v>
      </c>
      <c r="N469" s="44">
        <v>45978</v>
      </c>
      <c r="O469" s="39">
        <v>2</v>
      </c>
      <c r="P469" s="39">
        <v>4</v>
      </c>
      <c r="Q469" s="39">
        <v>4</v>
      </c>
      <c r="R469" s="39">
        <v>1</v>
      </c>
      <c r="S469" s="51" t="str">
        <f t="shared" si="38"/>
        <v>Detractor</v>
      </c>
    </row>
    <row r="470" ht="14.25" customHeight="1" spans="1:19">
      <c r="A470" s="43" t="s">
        <v>512</v>
      </c>
      <c r="B470" s="43" t="s">
        <v>12</v>
      </c>
      <c r="C470" s="43" t="s">
        <v>22</v>
      </c>
      <c r="D470" s="44">
        <v>45946</v>
      </c>
      <c r="E470" s="44">
        <v>45950</v>
      </c>
      <c r="F470" s="44">
        <v>45951</v>
      </c>
      <c r="G470" s="44">
        <v>45958</v>
      </c>
      <c r="H470" s="45" t="str">
        <f t="shared" si="39"/>
        <v>Delivered</v>
      </c>
      <c r="I470" s="48">
        <f t="shared" si="35"/>
        <v>4</v>
      </c>
      <c r="J470" s="48">
        <f t="shared" si="36"/>
        <v>1</v>
      </c>
      <c r="K470" s="48">
        <f t="shared" si="37"/>
        <v>7</v>
      </c>
      <c r="L470" s="39" t="s">
        <v>9</v>
      </c>
      <c r="N470" s="44">
        <v>45974</v>
      </c>
      <c r="O470" s="39">
        <v>4</v>
      </c>
      <c r="P470" s="39">
        <v>1</v>
      </c>
      <c r="Q470" s="39">
        <v>7</v>
      </c>
      <c r="R470" s="39">
        <v>0</v>
      </c>
      <c r="S470" s="51" t="str">
        <f t="shared" si="38"/>
        <v>Detractor</v>
      </c>
    </row>
    <row r="471" ht="14.25" customHeight="1" spans="1:19">
      <c r="A471" s="43" t="s">
        <v>513</v>
      </c>
      <c r="B471" s="43" t="s">
        <v>14</v>
      </c>
      <c r="C471" s="43" t="s">
        <v>20</v>
      </c>
      <c r="D471" s="44">
        <v>45958</v>
      </c>
      <c r="H471" s="45" t="str">
        <f t="shared" si="39"/>
        <v>Cancelled</v>
      </c>
      <c r="I471" s="48">
        <f t="shared" si="35"/>
        <v>0</v>
      </c>
      <c r="J471" s="48">
        <f t="shared" si="36"/>
        <v>0</v>
      </c>
      <c r="K471" s="48">
        <f t="shared" si="37"/>
        <v>0</v>
      </c>
      <c r="L471" s="39" t="s">
        <v>10</v>
      </c>
      <c r="M471" s="39" t="s">
        <v>49</v>
      </c>
      <c r="S471" s="51" t="str">
        <f t="shared" si="38"/>
        <v>Detractor</v>
      </c>
    </row>
    <row r="472" ht="14.25" customHeight="1" spans="1:19">
      <c r="A472" s="43" t="s">
        <v>514</v>
      </c>
      <c r="B472" s="43" t="s">
        <v>11</v>
      </c>
      <c r="C472" s="43" t="s">
        <v>22</v>
      </c>
      <c r="D472" s="44">
        <v>45935</v>
      </c>
      <c r="E472" s="44">
        <v>45936</v>
      </c>
      <c r="F472" s="44">
        <v>45941</v>
      </c>
      <c r="G472" s="44">
        <v>45943</v>
      </c>
      <c r="H472" s="45" t="str">
        <f t="shared" si="39"/>
        <v>Delivered</v>
      </c>
      <c r="I472" s="48">
        <f t="shared" si="35"/>
        <v>1</v>
      </c>
      <c r="J472" s="48">
        <f t="shared" si="36"/>
        <v>5</v>
      </c>
      <c r="K472" s="48">
        <f t="shared" si="37"/>
        <v>2</v>
      </c>
      <c r="L472" s="39" t="s">
        <v>9</v>
      </c>
      <c r="N472" s="44">
        <v>45954</v>
      </c>
      <c r="O472" s="39">
        <v>1</v>
      </c>
      <c r="P472" s="39">
        <v>5</v>
      </c>
      <c r="Q472" s="39">
        <v>2</v>
      </c>
      <c r="R472" s="39">
        <v>7</v>
      </c>
      <c r="S472" s="51" t="str">
        <f t="shared" si="38"/>
        <v>Passive</v>
      </c>
    </row>
    <row r="473" ht="14.25" customHeight="1" spans="1:19">
      <c r="A473" s="43" t="s">
        <v>515</v>
      </c>
      <c r="B473" s="43" t="s">
        <v>13</v>
      </c>
      <c r="C473" s="43" t="s">
        <v>20</v>
      </c>
      <c r="D473" s="44">
        <v>45945</v>
      </c>
      <c r="H473" s="45" t="str">
        <f t="shared" si="39"/>
        <v>Cancelled</v>
      </c>
      <c r="I473" s="48">
        <f t="shared" si="35"/>
        <v>0</v>
      </c>
      <c r="J473" s="48">
        <f t="shared" si="36"/>
        <v>0</v>
      </c>
      <c r="K473" s="48">
        <f t="shared" si="37"/>
        <v>0</v>
      </c>
      <c r="L473" s="39" t="s">
        <v>10</v>
      </c>
      <c r="M473" s="39" t="s">
        <v>79</v>
      </c>
      <c r="S473" s="51" t="str">
        <f t="shared" si="38"/>
        <v>Detractor</v>
      </c>
    </row>
    <row r="474" ht="14.25" customHeight="1" spans="1:19">
      <c r="A474" s="43" t="s">
        <v>516</v>
      </c>
      <c r="B474" s="43" t="s">
        <v>11</v>
      </c>
      <c r="C474" s="43" t="s">
        <v>20</v>
      </c>
      <c r="D474" s="44">
        <v>45948</v>
      </c>
      <c r="H474" s="45" t="str">
        <f t="shared" si="39"/>
        <v>Cancelled</v>
      </c>
      <c r="I474" s="48">
        <f t="shared" si="35"/>
        <v>0</v>
      </c>
      <c r="J474" s="48">
        <f t="shared" si="36"/>
        <v>0</v>
      </c>
      <c r="K474" s="48">
        <f t="shared" si="37"/>
        <v>0</v>
      </c>
      <c r="L474" s="39" t="s">
        <v>10</v>
      </c>
      <c r="M474" s="39" t="s">
        <v>49</v>
      </c>
      <c r="S474" s="51" t="str">
        <f t="shared" si="38"/>
        <v>Detractor</v>
      </c>
    </row>
    <row r="475" ht="14.25" customHeight="1" spans="1:19">
      <c r="A475" s="43" t="s">
        <v>517</v>
      </c>
      <c r="B475" s="43" t="s">
        <v>14</v>
      </c>
      <c r="C475" s="43" t="s">
        <v>22</v>
      </c>
      <c r="D475" s="44">
        <v>45946</v>
      </c>
      <c r="E475" s="44">
        <v>45949</v>
      </c>
      <c r="F475" s="44">
        <v>45953</v>
      </c>
      <c r="G475" s="44">
        <v>45956</v>
      </c>
      <c r="H475" s="45" t="str">
        <f t="shared" si="39"/>
        <v>Delivered</v>
      </c>
      <c r="I475" s="48">
        <f t="shared" si="35"/>
        <v>3</v>
      </c>
      <c r="J475" s="48">
        <f t="shared" si="36"/>
        <v>4</v>
      </c>
      <c r="K475" s="48">
        <f t="shared" si="37"/>
        <v>3</v>
      </c>
      <c r="L475" s="39" t="s">
        <v>9</v>
      </c>
      <c r="N475" s="44">
        <v>45973</v>
      </c>
      <c r="O475" s="39">
        <v>3</v>
      </c>
      <c r="P475" s="39">
        <v>4</v>
      </c>
      <c r="Q475" s="39">
        <v>3</v>
      </c>
      <c r="R475" s="39">
        <v>8</v>
      </c>
      <c r="S475" s="51" t="str">
        <f t="shared" si="38"/>
        <v>Passive</v>
      </c>
    </row>
    <row r="476" ht="14.25" customHeight="1" spans="1:19">
      <c r="A476" s="43" t="s">
        <v>518</v>
      </c>
      <c r="B476" s="43" t="s">
        <v>14</v>
      </c>
      <c r="C476" s="43" t="s">
        <v>20</v>
      </c>
      <c r="D476" s="44">
        <v>45942</v>
      </c>
      <c r="H476" s="45" t="str">
        <f t="shared" si="39"/>
        <v>Cancelled</v>
      </c>
      <c r="I476" s="48">
        <f t="shared" si="35"/>
        <v>0</v>
      </c>
      <c r="J476" s="48">
        <f t="shared" si="36"/>
        <v>0</v>
      </c>
      <c r="K476" s="48">
        <f t="shared" si="37"/>
        <v>0</v>
      </c>
      <c r="L476" s="39" t="s">
        <v>10</v>
      </c>
      <c r="M476" s="39" t="s">
        <v>117</v>
      </c>
      <c r="S476" s="51" t="str">
        <f t="shared" si="38"/>
        <v>Detractor</v>
      </c>
    </row>
    <row r="477" ht="14.25" customHeight="1" spans="1:19">
      <c r="A477" s="43" t="s">
        <v>519</v>
      </c>
      <c r="B477" s="43" t="s">
        <v>14</v>
      </c>
      <c r="C477" s="43" t="s">
        <v>22</v>
      </c>
      <c r="D477" s="44">
        <v>45941</v>
      </c>
      <c r="E477" s="44">
        <v>45943</v>
      </c>
      <c r="F477" s="44">
        <v>45947</v>
      </c>
      <c r="G477" s="44">
        <v>45952</v>
      </c>
      <c r="H477" s="45" t="str">
        <f t="shared" si="39"/>
        <v>Delivered</v>
      </c>
      <c r="I477" s="48">
        <f t="shared" si="35"/>
        <v>2</v>
      </c>
      <c r="J477" s="48">
        <f t="shared" si="36"/>
        <v>4</v>
      </c>
      <c r="K477" s="48">
        <f t="shared" si="37"/>
        <v>5</v>
      </c>
      <c r="L477" s="39" t="s">
        <v>10</v>
      </c>
      <c r="M477" s="39" t="s">
        <v>42</v>
      </c>
      <c r="O477" s="39">
        <v>2</v>
      </c>
      <c r="P477" s="39">
        <v>4</v>
      </c>
      <c r="Q477" s="39">
        <v>5</v>
      </c>
      <c r="S477" s="51" t="str">
        <f t="shared" si="38"/>
        <v>Detractor</v>
      </c>
    </row>
    <row r="478" ht="14.25" customHeight="1" spans="1:19">
      <c r="A478" s="43" t="s">
        <v>520</v>
      </c>
      <c r="B478" s="43" t="s">
        <v>11</v>
      </c>
      <c r="C478" s="43" t="s">
        <v>21</v>
      </c>
      <c r="D478" s="44">
        <v>45948</v>
      </c>
      <c r="E478" s="44">
        <v>45949</v>
      </c>
      <c r="F478" s="44">
        <v>45954</v>
      </c>
      <c r="G478" s="44">
        <v>45959</v>
      </c>
      <c r="H478" s="45" t="str">
        <f t="shared" si="39"/>
        <v>Delivered</v>
      </c>
      <c r="I478" s="48">
        <f t="shared" si="35"/>
        <v>1</v>
      </c>
      <c r="J478" s="48">
        <f t="shared" si="36"/>
        <v>5</v>
      </c>
      <c r="K478" s="48">
        <f t="shared" si="37"/>
        <v>5</v>
      </c>
      <c r="L478" s="39" t="s">
        <v>9</v>
      </c>
      <c r="N478" s="44">
        <v>45970</v>
      </c>
      <c r="O478" s="39">
        <v>1</v>
      </c>
      <c r="P478" s="39">
        <v>5</v>
      </c>
      <c r="Q478" s="39">
        <v>5</v>
      </c>
      <c r="R478" s="39">
        <v>2</v>
      </c>
      <c r="S478" s="51" t="str">
        <f t="shared" si="38"/>
        <v>Detractor</v>
      </c>
    </row>
    <row r="479" ht="14.25" customHeight="1" spans="1:19">
      <c r="A479" s="43" t="s">
        <v>521</v>
      </c>
      <c r="B479" s="43" t="s">
        <v>11</v>
      </c>
      <c r="C479" s="43" t="s">
        <v>22</v>
      </c>
      <c r="D479" s="44">
        <v>45955</v>
      </c>
      <c r="E479" s="44">
        <v>45958</v>
      </c>
      <c r="F479" s="44">
        <v>45963</v>
      </c>
      <c r="G479" s="44">
        <v>45965</v>
      </c>
      <c r="H479" s="45" t="str">
        <f t="shared" si="39"/>
        <v>Delivered</v>
      </c>
      <c r="I479" s="48">
        <f t="shared" si="35"/>
        <v>3</v>
      </c>
      <c r="J479" s="48">
        <f t="shared" si="36"/>
        <v>5</v>
      </c>
      <c r="K479" s="48">
        <f t="shared" si="37"/>
        <v>2</v>
      </c>
      <c r="L479" s="39" t="s">
        <v>10</v>
      </c>
      <c r="M479" s="39" t="s">
        <v>42</v>
      </c>
      <c r="O479" s="39">
        <v>3</v>
      </c>
      <c r="P479" s="39">
        <v>5</v>
      </c>
      <c r="Q479" s="39">
        <v>2</v>
      </c>
      <c r="S479" s="51" t="str">
        <f t="shared" si="38"/>
        <v>Detractor</v>
      </c>
    </row>
    <row r="480" ht="14.25" customHeight="1" spans="1:19">
      <c r="A480" s="43" t="s">
        <v>522</v>
      </c>
      <c r="B480" s="43" t="s">
        <v>11</v>
      </c>
      <c r="C480" s="43" t="s">
        <v>22</v>
      </c>
      <c r="D480" s="44">
        <v>45948</v>
      </c>
      <c r="E480" s="44">
        <v>45949</v>
      </c>
      <c r="F480" s="44">
        <v>45951</v>
      </c>
      <c r="G480" s="44">
        <v>45954</v>
      </c>
      <c r="H480" s="45" t="str">
        <f t="shared" si="39"/>
        <v>Delivered</v>
      </c>
      <c r="I480" s="48">
        <f t="shared" si="35"/>
        <v>1</v>
      </c>
      <c r="J480" s="48">
        <f t="shared" si="36"/>
        <v>2</v>
      </c>
      <c r="K480" s="48">
        <f t="shared" si="37"/>
        <v>3</v>
      </c>
      <c r="L480" s="39" t="s">
        <v>9</v>
      </c>
      <c r="N480" s="44">
        <v>45978</v>
      </c>
      <c r="O480" s="39">
        <v>1</v>
      </c>
      <c r="P480" s="39">
        <v>2</v>
      </c>
      <c r="Q480" s="39">
        <v>3</v>
      </c>
      <c r="R480" s="39">
        <v>7</v>
      </c>
      <c r="S480" s="51" t="str">
        <f t="shared" si="38"/>
        <v>Passive</v>
      </c>
    </row>
    <row r="481" ht="14.25" customHeight="1" spans="1:19">
      <c r="A481" s="43" t="s">
        <v>523</v>
      </c>
      <c r="B481" s="43" t="s">
        <v>11</v>
      </c>
      <c r="C481" s="43" t="s">
        <v>22</v>
      </c>
      <c r="D481" s="44">
        <v>45943</v>
      </c>
      <c r="E481" s="44">
        <v>45946</v>
      </c>
      <c r="F481" s="44">
        <v>45950</v>
      </c>
      <c r="G481" s="44">
        <v>45955</v>
      </c>
      <c r="H481" s="45" t="str">
        <f t="shared" si="39"/>
        <v>Delivered</v>
      </c>
      <c r="I481" s="48">
        <f t="shared" si="35"/>
        <v>3</v>
      </c>
      <c r="J481" s="48">
        <f t="shared" si="36"/>
        <v>4</v>
      </c>
      <c r="K481" s="48">
        <f t="shared" si="37"/>
        <v>5</v>
      </c>
      <c r="L481" s="39" t="s">
        <v>10</v>
      </c>
      <c r="M481" s="39" t="s">
        <v>44</v>
      </c>
      <c r="O481" s="39">
        <v>3</v>
      </c>
      <c r="P481" s="39">
        <v>4</v>
      </c>
      <c r="Q481" s="39">
        <v>5</v>
      </c>
      <c r="S481" s="51" t="str">
        <f t="shared" si="38"/>
        <v>Detractor</v>
      </c>
    </row>
    <row r="482" ht="14.25" customHeight="1" spans="1:19">
      <c r="A482" s="43" t="s">
        <v>524</v>
      </c>
      <c r="B482" s="43" t="s">
        <v>14</v>
      </c>
      <c r="C482" s="43" t="s">
        <v>22</v>
      </c>
      <c r="D482" s="44">
        <v>45945</v>
      </c>
      <c r="E482" s="44">
        <v>45947</v>
      </c>
      <c r="F482" s="44">
        <v>45949</v>
      </c>
      <c r="G482" s="44">
        <v>45956</v>
      </c>
      <c r="H482" s="45" t="str">
        <f t="shared" si="39"/>
        <v>Delivered</v>
      </c>
      <c r="I482" s="48">
        <f t="shared" si="35"/>
        <v>2</v>
      </c>
      <c r="J482" s="48">
        <f t="shared" si="36"/>
        <v>2</v>
      </c>
      <c r="K482" s="48">
        <f t="shared" si="37"/>
        <v>7</v>
      </c>
      <c r="L482" s="39" t="s">
        <v>9</v>
      </c>
      <c r="N482" s="44">
        <v>45967</v>
      </c>
      <c r="O482" s="39">
        <v>2</v>
      </c>
      <c r="P482" s="39">
        <v>2</v>
      </c>
      <c r="Q482" s="39">
        <v>7</v>
      </c>
      <c r="R482" s="39">
        <v>2</v>
      </c>
      <c r="S482" s="51" t="str">
        <f t="shared" si="38"/>
        <v>Detractor</v>
      </c>
    </row>
    <row r="483" ht="14.25" customHeight="1" spans="1:19">
      <c r="A483" s="43" t="s">
        <v>525</v>
      </c>
      <c r="B483" s="43" t="s">
        <v>14</v>
      </c>
      <c r="C483" s="43" t="s">
        <v>22</v>
      </c>
      <c r="D483" s="44">
        <v>45960</v>
      </c>
      <c r="E483" s="44">
        <v>45962</v>
      </c>
      <c r="F483" s="44">
        <v>45965</v>
      </c>
      <c r="G483" s="44">
        <v>45971</v>
      </c>
      <c r="H483" s="45" t="str">
        <f t="shared" si="39"/>
        <v>Delivered</v>
      </c>
      <c r="I483" s="48">
        <f t="shared" si="35"/>
        <v>2</v>
      </c>
      <c r="J483" s="48">
        <f t="shared" si="36"/>
        <v>3</v>
      </c>
      <c r="K483" s="48">
        <f t="shared" si="37"/>
        <v>6</v>
      </c>
      <c r="L483" s="39" t="s">
        <v>9</v>
      </c>
      <c r="N483" s="44">
        <v>45992</v>
      </c>
      <c r="O483" s="39">
        <v>2</v>
      </c>
      <c r="P483" s="39">
        <v>3</v>
      </c>
      <c r="Q483" s="39">
        <v>6</v>
      </c>
      <c r="R483" s="39">
        <v>8</v>
      </c>
      <c r="S483" s="51" t="str">
        <f t="shared" si="38"/>
        <v>Passive</v>
      </c>
    </row>
    <row r="484" ht="14.25" customHeight="1" spans="1:19">
      <c r="A484" s="43" t="s">
        <v>526</v>
      </c>
      <c r="B484" s="43" t="s">
        <v>13</v>
      </c>
      <c r="C484" s="43" t="s">
        <v>22</v>
      </c>
      <c r="D484" s="44">
        <v>45941</v>
      </c>
      <c r="E484" s="44">
        <v>45942</v>
      </c>
      <c r="F484" s="44">
        <v>45944</v>
      </c>
      <c r="G484" s="44">
        <v>45946</v>
      </c>
      <c r="H484" s="45" t="str">
        <f t="shared" si="39"/>
        <v>Delivered</v>
      </c>
      <c r="I484" s="48">
        <f t="shared" si="35"/>
        <v>1</v>
      </c>
      <c r="J484" s="48">
        <f t="shared" si="36"/>
        <v>2</v>
      </c>
      <c r="K484" s="48">
        <f t="shared" si="37"/>
        <v>2</v>
      </c>
      <c r="L484" s="39" t="s">
        <v>9</v>
      </c>
      <c r="N484" s="44">
        <v>45962</v>
      </c>
      <c r="O484" s="39">
        <v>1</v>
      </c>
      <c r="P484" s="39">
        <v>2</v>
      </c>
      <c r="Q484" s="39">
        <v>2</v>
      </c>
      <c r="R484" s="39">
        <v>5</v>
      </c>
      <c r="S484" s="51" t="str">
        <f t="shared" si="38"/>
        <v>Detractor</v>
      </c>
    </row>
    <row r="485" ht="14.25" customHeight="1" spans="1:19">
      <c r="A485" s="43" t="s">
        <v>527</v>
      </c>
      <c r="B485" s="43" t="s">
        <v>13</v>
      </c>
      <c r="C485" s="43" t="s">
        <v>22</v>
      </c>
      <c r="D485" s="44">
        <v>45958</v>
      </c>
      <c r="E485" s="44">
        <v>45961</v>
      </c>
      <c r="F485" s="44">
        <v>45964</v>
      </c>
      <c r="G485" s="44">
        <v>45970</v>
      </c>
      <c r="H485" s="45" t="str">
        <f t="shared" si="39"/>
        <v>Delivered</v>
      </c>
      <c r="I485" s="48">
        <f t="shared" si="35"/>
        <v>3</v>
      </c>
      <c r="J485" s="48">
        <f t="shared" si="36"/>
        <v>3</v>
      </c>
      <c r="K485" s="48">
        <f t="shared" si="37"/>
        <v>6</v>
      </c>
      <c r="L485" s="39" t="s">
        <v>9</v>
      </c>
      <c r="N485" s="44">
        <v>45988</v>
      </c>
      <c r="O485" s="39">
        <v>3</v>
      </c>
      <c r="P485" s="39">
        <v>3</v>
      </c>
      <c r="Q485" s="39">
        <v>6</v>
      </c>
      <c r="R485" s="39">
        <v>5</v>
      </c>
      <c r="S485" s="51" t="str">
        <f t="shared" si="38"/>
        <v>Detractor</v>
      </c>
    </row>
    <row r="486" ht="14.25" customHeight="1" spans="1:19">
      <c r="A486" s="43" t="s">
        <v>528</v>
      </c>
      <c r="B486" s="43" t="s">
        <v>11</v>
      </c>
      <c r="C486" s="43" t="s">
        <v>22</v>
      </c>
      <c r="D486" s="44">
        <v>45937</v>
      </c>
      <c r="E486" s="44">
        <v>45941</v>
      </c>
      <c r="F486" s="44">
        <v>45942</v>
      </c>
      <c r="G486" s="44">
        <v>45944</v>
      </c>
      <c r="H486" s="45" t="str">
        <f t="shared" si="39"/>
        <v>Delivered</v>
      </c>
      <c r="I486" s="48">
        <f t="shared" si="35"/>
        <v>4</v>
      </c>
      <c r="J486" s="48">
        <f t="shared" si="36"/>
        <v>1</v>
      </c>
      <c r="K486" s="48">
        <f t="shared" si="37"/>
        <v>2</v>
      </c>
      <c r="L486" s="39" t="s">
        <v>9</v>
      </c>
      <c r="N486" s="44">
        <v>45965</v>
      </c>
      <c r="O486" s="39">
        <v>4</v>
      </c>
      <c r="P486" s="39">
        <v>1</v>
      </c>
      <c r="Q486" s="39">
        <v>2</v>
      </c>
      <c r="R486" s="39">
        <v>6</v>
      </c>
      <c r="S486" s="51" t="str">
        <f t="shared" si="38"/>
        <v>Detractor</v>
      </c>
    </row>
    <row r="487" ht="14.25" customHeight="1" spans="1:19">
      <c r="A487" s="43" t="s">
        <v>529</v>
      </c>
      <c r="B487" s="43" t="s">
        <v>12</v>
      </c>
      <c r="C487" s="43" t="s">
        <v>22</v>
      </c>
      <c r="D487" s="44">
        <v>45953</v>
      </c>
      <c r="E487" s="44">
        <v>45955</v>
      </c>
      <c r="F487" s="44">
        <v>45959</v>
      </c>
      <c r="G487" s="44">
        <v>45963</v>
      </c>
      <c r="H487" s="45" t="str">
        <f t="shared" si="39"/>
        <v>Delivered</v>
      </c>
      <c r="I487" s="48">
        <f t="shared" si="35"/>
        <v>2</v>
      </c>
      <c r="J487" s="48">
        <f t="shared" si="36"/>
        <v>4</v>
      </c>
      <c r="K487" s="48">
        <f t="shared" si="37"/>
        <v>4</v>
      </c>
      <c r="L487" s="39" t="s">
        <v>10</v>
      </c>
      <c r="M487" s="39" t="s">
        <v>44</v>
      </c>
      <c r="O487" s="39">
        <v>2</v>
      </c>
      <c r="P487" s="39">
        <v>4</v>
      </c>
      <c r="Q487" s="39">
        <v>4</v>
      </c>
      <c r="S487" s="51" t="str">
        <f t="shared" si="38"/>
        <v>Detractor</v>
      </c>
    </row>
    <row r="488" ht="14.25" customHeight="1" spans="1:19">
      <c r="A488" s="43" t="s">
        <v>530</v>
      </c>
      <c r="B488" s="43" t="s">
        <v>12</v>
      </c>
      <c r="C488" s="43" t="s">
        <v>22</v>
      </c>
      <c r="D488" s="44">
        <v>45938</v>
      </c>
      <c r="E488" s="44">
        <v>45942</v>
      </c>
      <c r="F488" s="44">
        <v>45945</v>
      </c>
      <c r="G488" s="44">
        <v>45949</v>
      </c>
      <c r="H488" s="45" t="str">
        <f t="shared" si="39"/>
        <v>Delivered</v>
      </c>
      <c r="I488" s="48">
        <f t="shared" si="35"/>
        <v>4</v>
      </c>
      <c r="J488" s="48">
        <f t="shared" si="36"/>
        <v>3</v>
      </c>
      <c r="K488" s="48">
        <f t="shared" si="37"/>
        <v>4</v>
      </c>
      <c r="L488" s="39" t="s">
        <v>9</v>
      </c>
      <c r="N488" s="44">
        <v>45973</v>
      </c>
      <c r="O488" s="39">
        <v>4</v>
      </c>
      <c r="P488" s="39">
        <v>3</v>
      </c>
      <c r="Q488" s="39">
        <v>4</v>
      </c>
      <c r="R488" s="39">
        <v>9</v>
      </c>
      <c r="S488" s="51" t="str">
        <f t="shared" si="38"/>
        <v>Promoter</v>
      </c>
    </row>
    <row r="489" ht="14.25" customHeight="1" spans="1:19">
      <c r="A489" s="43" t="s">
        <v>531</v>
      </c>
      <c r="B489" s="43" t="s">
        <v>14</v>
      </c>
      <c r="C489" s="43" t="s">
        <v>21</v>
      </c>
      <c r="D489" s="44">
        <v>45949</v>
      </c>
      <c r="E489" s="44">
        <v>45953</v>
      </c>
      <c r="F489" s="44">
        <v>45954</v>
      </c>
      <c r="G489" s="44">
        <v>45957</v>
      </c>
      <c r="H489" s="45" t="str">
        <f t="shared" si="39"/>
        <v>Delivered</v>
      </c>
      <c r="I489" s="48">
        <f t="shared" si="35"/>
        <v>4</v>
      </c>
      <c r="J489" s="48">
        <f t="shared" si="36"/>
        <v>1</v>
      </c>
      <c r="K489" s="48">
        <f t="shared" si="37"/>
        <v>3</v>
      </c>
      <c r="L489" s="39" t="s">
        <v>9</v>
      </c>
      <c r="N489" s="44">
        <v>45983</v>
      </c>
      <c r="O489" s="39">
        <v>4</v>
      </c>
      <c r="P489" s="39">
        <v>1</v>
      </c>
      <c r="Q489" s="39">
        <v>3</v>
      </c>
      <c r="R489" s="39">
        <v>4</v>
      </c>
      <c r="S489" s="51" t="str">
        <f t="shared" si="38"/>
        <v>Detractor</v>
      </c>
    </row>
    <row r="490" ht="14.25" customHeight="1" spans="1:19">
      <c r="A490" s="43" t="s">
        <v>532</v>
      </c>
      <c r="B490" s="43" t="s">
        <v>14</v>
      </c>
      <c r="C490" s="43" t="s">
        <v>22</v>
      </c>
      <c r="D490" s="44">
        <v>45943</v>
      </c>
      <c r="E490" s="44">
        <v>45948</v>
      </c>
      <c r="F490" s="44">
        <v>45953</v>
      </c>
      <c r="G490" s="44">
        <v>45958</v>
      </c>
      <c r="H490" s="45" t="str">
        <f t="shared" si="39"/>
        <v>Delivered</v>
      </c>
      <c r="I490" s="48">
        <f t="shared" si="35"/>
        <v>5</v>
      </c>
      <c r="J490" s="48">
        <f t="shared" si="36"/>
        <v>5</v>
      </c>
      <c r="K490" s="48">
        <f t="shared" si="37"/>
        <v>5</v>
      </c>
      <c r="L490" s="39" t="s">
        <v>9</v>
      </c>
      <c r="N490" s="44">
        <v>45980</v>
      </c>
      <c r="O490" s="39">
        <v>5</v>
      </c>
      <c r="P490" s="39">
        <v>5</v>
      </c>
      <c r="Q490" s="39">
        <v>5</v>
      </c>
      <c r="R490" s="39">
        <v>5</v>
      </c>
      <c r="S490" s="51" t="str">
        <f t="shared" si="38"/>
        <v>Detractor</v>
      </c>
    </row>
    <row r="491" ht="14.25" customHeight="1" spans="1:19">
      <c r="A491" s="43" t="s">
        <v>533</v>
      </c>
      <c r="B491" s="43" t="s">
        <v>14</v>
      </c>
      <c r="C491" s="43" t="s">
        <v>21</v>
      </c>
      <c r="D491" s="44">
        <v>45938</v>
      </c>
      <c r="E491" s="44">
        <v>45939</v>
      </c>
      <c r="F491" s="44">
        <v>45941</v>
      </c>
      <c r="G491" s="44">
        <v>45947</v>
      </c>
      <c r="H491" s="45" t="str">
        <f t="shared" si="39"/>
        <v>Delivered</v>
      </c>
      <c r="I491" s="48">
        <f t="shared" si="35"/>
        <v>1</v>
      </c>
      <c r="J491" s="48">
        <f t="shared" si="36"/>
        <v>2</v>
      </c>
      <c r="K491" s="48">
        <f t="shared" si="37"/>
        <v>6</v>
      </c>
      <c r="L491" s="39" t="s">
        <v>9</v>
      </c>
      <c r="N491" s="44">
        <v>45977</v>
      </c>
      <c r="O491" s="39">
        <v>1</v>
      </c>
      <c r="P491" s="39">
        <v>2</v>
      </c>
      <c r="Q491" s="39">
        <v>6</v>
      </c>
      <c r="R491" s="39">
        <v>2</v>
      </c>
      <c r="S491" s="51" t="str">
        <f t="shared" si="38"/>
        <v>Detractor</v>
      </c>
    </row>
    <row r="492" ht="14.25" customHeight="1" spans="1:19">
      <c r="A492" s="43" t="s">
        <v>534</v>
      </c>
      <c r="B492" s="43" t="s">
        <v>13</v>
      </c>
      <c r="C492" s="43" t="s">
        <v>22</v>
      </c>
      <c r="D492" s="44">
        <v>45958</v>
      </c>
      <c r="E492" s="44">
        <v>45959</v>
      </c>
      <c r="F492" s="44">
        <v>45960</v>
      </c>
      <c r="G492" s="44">
        <v>45965</v>
      </c>
      <c r="H492" s="45" t="str">
        <f t="shared" si="39"/>
        <v>Delivered</v>
      </c>
      <c r="I492" s="48">
        <f t="shared" si="35"/>
        <v>1</v>
      </c>
      <c r="J492" s="48">
        <f t="shared" si="36"/>
        <v>1</v>
      </c>
      <c r="K492" s="48">
        <f t="shared" si="37"/>
        <v>5</v>
      </c>
      <c r="L492" s="39" t="s">
        <v>9</v>
      </c>
      <c r="N492" s="44">
        <v>45978</v>
      </c>
      <c r="O492" s="39">
        <v>1</v>
      </c>
      <c r="P492" s="39">
        <v>1</v>
      </c>
      <c r="Q492" s="39">
        <v>5</v>
      </c>
      <c r="R492" s="39">
        <v>9</v>
      </c>
      <c r="S492" s="51" t="str">
        <f t="shared" si="38"/>
        <v>Promoter</v>
      </c>
    </row>
    <row r="493" ht="14.25" customHeight="1" spans="1:19">
      <c r="A493" s="43" t="s">
        <v>535</v>
      </c>
      <c r="B493" s="43" t="s">
        <v>13</v>
      </c>
      <c r="C493" s="43" t="s">
        <v>22</v>
      </c>
      <c r="D493" s="44">
        <v>45955</v>
      </c>
      <c r="E493" s="44">
        <v>45956</v>
      </c>
      <c r="F493" s="44">
        <v>45959</v>
      </c>
      <c r="G493" s="44">
        <v>45963</v>
      </c>
      <c r="H493" s="45" t="str">
        <f t="shared" si="39"/>
        <v>Delivered</v>
      </c>
      <c r="I493" s="48">
        <f t="shared" si="35"/>
        <v>1</v>
      </c>
      <c r="J493" s="48">
        <f t="shared" si="36"/>
        <v>3</v>
      </c>
      <c r="K493" s="48">
        <f t="shared" si="37"/>
        <v>4</v>
      </c>
      <c r="L493" s="39" t="s">
        <v>10</v>
      </c>
      <c r="M493" s="39" t="s">
        <v>42</v>
      </c>
      <c r="O493" s="39">
        <v>1</v>
      </c>
      <c r="P493" s="39">
        <v>3</v>
      </c>
      <c r="Q493" s="39">
        <v>4</v>
      </c>
      <c r="S493" s="51" t="str">
        <f t="shared" si="38"/>
        <v>Detractor</v>
      </c>
    </row>
    <row r="494" ht="14.25" customHeight="1" spans="1:19">
      <c r="A494" s="43" t="s">
        <v>536</v>
      </c>
      <c r="B494" s="43" t="s">
        <v>14</v>
      </c>
      <c r="C494" s="43" t="s">
        <v>22</v>
      </c>
      <c r="D494" s="44">
        <v>45944</v>
      </c>
      <c r="E494" s="44">
        <v>45947</v>
      </c>
      <c r="F494" s="44">
        <v>45951</v>
      </c>
      <c r="G494" s="44">
        <v>45957</v>
      </c>
      <c r="H494" s="45" t="str">
        <f t="shared" si="39"/>
        <v>Delivered</v>
      </c>
      <c r="I494" s="48">
        <f t="shared" si="35"/>
        <v>3</v>
      </c>
      <c r="J494" s="48">
        <f t="shared" si="36"/>
        <v>4</v>
      </c>
      <c r="K494" s="48">
        <f t="shared" si="37"/>
        <v>6</v>
      </c>
      <c r="L494" s="39" t="s">
        <v>9</v>
      </c>
      <c r="N494" s="44">
        <v>45967</v>
      </c>
      <c r="O494" s="39">
        <v>3</v>
      </c>
      <c r="P494" s="39">
        <v>4</v>
      </c>
      <c r="Q494" s="39">
        <v>6</v>
      </c>
      <c r="R494" s="39">
        <v>3</v>
      </c>
      <c r="S494" s="51" t="str">
        <f t="shared" si="38"/>
        <v>Detractor</v>
      </c>
    </row>
    <row r="495" ht="14.25" customHeight="1" spans="1:19">
      <c r="A495" s="43" t="s">
        <v>537</v>
      </c>
      <c r="B495" s="43" t="s">
        <v>14</v>
      </c>
      <c r="C495" s="43" t="s">
        <v>22</v>
      </c>
      <c r="D495" s="44">
        <v>45932</v>
      </c>
      <c r="E495" s="44">
        <v>45934</v>
      </c>
      <c r="F495" s="44">
        <v>45939</v>
      </c>
      <c r="G495" s="44">
        <v>45946</v>
      </c>
      <c r="H495" s="45" t="str">
        <f t="shared" si="39"/>
        <v>Delivered</v>
      </c>
      <c r="I495" s="48">
        <f t="shared" si="35"/>
        <v>2</v>
      </c>
      <c r="J495" s="48">
        <f t="shared" si="36"/>
        <v>5</v>
      </c>
      <c r="K495" s="48">
        <f t="shared" si="37"/>
        <v>7</v>
      </c>
      <c r="L495" s="39" t="s">
        <v>9</v>
      </c>
      <c r="N495" s="44">
        <v>45963</v>
      </c>
      <c r="O495" s="39">
        <v>2</v>
      </c>
      <c r="P495" s="39">
        <v>5</v>
      </c>
      <c r="Q495" s="39">
        <v>7</v>
      </c>
      <c r="R495" s="39">
        <v>1</v>
      </c>
      <c r="S495" s="51" t="str">
        <f t="shared" si="38"/>
        <v>Detractor</v>
      </c>
    </row>
    <row r="496" ht="14.25" customHeight="1" spans="1:19">
      <c r="A496" s="43" t="s">
        <v>538</v>
      </c>
      <c r="B496" s="43" t="s">
        <v>14</v>
      </c>
      <c r="C496" s="43" t="s">
        <v>20</v>
      </c>
      <c r="D496" s="44">
        <v>45941</v>
      </c>
      <c r="H496" s="45" t="str">
        <f t="shared" si="39"/>
        <v>Cancelled</v>
      </c>
      <c r="I496" s="48">
        <f t="shared" si="35"/>
        <v>0</v>
      </c>
      <c r="J496" s="48">
        <f t="shared" si="36"/>
        <v>0</v>
      </c>
      <c r="K496" s="48">
        <f t="shared" si="37"/>
        <v>0</v>
      </c>
      <c r="L496" s="39" t="s">
        <v>10</v>
      </c>
      <c r="M496" s="39" t="s">
        <v>117</v>
      </c>
      <c r="S496" s="51" t="str">
        <f t="shared" si="38"/>
        <v>Detractor</v>
      </c>
    </row>
    <row r="497" ht="14.25" customHeight="1" spans="1:19">
      <c r="A497" s="43" t="s">
        <v>539</v>
      </c>
      <c r="B497" s="43" t="s">
        <v>12</v>
      </c>
      <c r="C497" s="43" t="s">
        <v>20</v>
      </c>
      <c r="D497" s="44">
        <v>45954</v>
      </c>
      <c r="H497" s="45" t="str">
        <f t="shared" si="39"/>
        <v>Cancelled</v>
      </c>
      <c r="I497" s="48">
        <f t="shared" si="35"/>
        <v>0</v>
      </c>
      <c r="J497" s="48">
        <f t="shared" si="36"/>
        <v>0</v>
      </c>
      <c r="K497" s="48">
        <f t="shared" si="37"/>
        <v>0</v>
      </c>
      <c r="L497" s="39" t="s">
        <v>10</v>
      </c>
      <c r="M497" s="39" t="s">
        <v>79</v>
      </c>
      <c r="S497" s="51" t="str">
        <f t="shared" si="38"/>
        <v>Detractor</v>
      </c>
    </row>
    <row r="498" ht="14.25" customHeight="1" spans="1:19">
      <c r="A498" s="43" t="s">
        <v>540</v>
      </c>
      <c r="B498" s="43" t="s">
        <v>13</v>
      </c>
      <c r="C498" s="43" t="s">
        <v>20</v>
      </c>
      <c r="D498" s="44">
        <v>45946</v>
      </c>
      <c r="H498" s="45" t="str">
        <f t="shared" si="39"/>
        <v>Cancelled</v>
      </c>
      <c r="I498" s="48">
        <f t="shared" si="35"/>
        <v>0</v>
      </c>
      <c r="J498" s="48">
        <f t="shared" si="36"/>
        <v>0</v>
      </c>
      <c r="K498" s="48">
        <f t="shared" si="37"/>
        <v>0</v>
      </c>
      <c r="L498" s="39" t="s">
        <v>10</v>
      </c>
      <c r="M498" s="39" t="s">
        <v>79</v>
      </c>
      <c r="S498" s="51" t="str">
        <f t="shared" si="38"/>
        <v>Detractor</v>
      </c>
    </row>
    <row r="499" ht="14.25" customHeight="1" spans="1:19">
      <c r="A499" s="43" t="s">
        <v>541</v>
      </c>
      <c r="B499" s="43" t="s">
        <v>12</v>
      </c>
      <c r="C499" s="43" t="s">
        <v>20</v>
      </c>
      <c r="D499" s="44">
        <v>45953</v>
      </c>
      <c r="H499" s="45" t="str">
        <f t="shared" si="39"/>
        <v>Cancelled</v>
      </c>
      <c r="I499" s="48">
        <f t="shared" si="35"/>
        <v>0</v>
      </c>
      <c r="J499" s="48">
        <f t="shared" si="36"/>
        <v>0</v>
      </c>
      <c r="K499" s="48">
        <f t="shared" si="37"/>
        <v>0</v>
      </c>
      <c r="L499" s="39" t="s">
        <v>10</v>
      </c>
      <c r="M499" s="39" t="s">
        <v>117</v>
      </c>
      <c r="S499" s="51" t="str">
        <f t="shared" si="38"/>
        <v>Detractor</v>
      </c>
    </row>
    <row r="500" ht="14.25" customHeight="1" spans="1:19">
      <c r="A500" s="43" t="s">
        <v>542</v>
      </c>
      <c r="B500" s="43" t="s">
        <v>12</v>
      </c>
      <c r="C500" s="43" t="s">
        <v>21</v>
      </c>
      <c r="D500" s="44">
        <v>45960</v>
      </c>
      <c r="E500" s="44">
        <v>45962</v>
      </c>
      <c r="F500" s="44">
        <v>45967</v>
      </c>
      <c r="G500" s="44">
        <v>45970</v>
      </c>
      <c r="H500" s="45" t="str">
        <f t="shared" si="39"/>
        <v>Delivered</v>
      </c>
      <c r="I500" s="48">
        <f t="shared" si="35"/>
        <v>2</v>
      </c>
      <c r="J500" s="48">
        <f t="shared" si="36"/>
        <v>5</v>
      </c>
      <c r="K500" s="48">
        <f t="shared" si="37"/>
        <v>3</v>
      </c>
      <c r="L500" s="39" t="s">
        <v>9</v>
      </c>
      <c r="N500" s="44">
        <v>45991</v>
      </c>
      <c r="O500" s="39">
        <v>2</v>
      </c>
      <c r="P500" s="39">
        <v>5</v>
      </c>
      <c r="Q500" s="39">
        <v>3</v>
      </c>
      <c r="R500" s="39">
        <v>8</v>
      </c>
      <c r="S500" s="51" t="str">
        <f t="shared" si="38"/>
        <v>Passive</v>
      </c>
    </row>
    <row r="501" ht="14.25" customHeight="1" spans="1:19">
      <c r="A501" s="43" t="s">
        <v>543</v>
      </c>
      <c r="B501" s="43" t="s">
        <v>14</v>
      </c>
      <c r="C501" s="43" t="s">
        <v>21</v>
      </c>
      <c r="D501" s="44">
        <v>45956</v>
      </c>
      <c r="E501" s="44">
        <v>45961</v>
      </c>
      <c r="F501" s="44">
        <v>45962</v>
      </c>
      <c r="G501" s="44">
        <v>45967</v>
      </c>
      <c r="H501" s="45" t="str">
        <f t="shared" si="39"/>
        <v>Delivered</v>
      </c>
      <c r="I501" s="48">
        <f t="shared" si="35"/>
        <v>5</v>
      </c>
      <c r="J501" s="48">
        <f t="shared" si="36"/>
        <v>1</v>
      </c>
      <c r="K501" s="48">
        <f t="shared" si="37"/>
        <v>5</v>
      </c>
      <c r="L501" s="39" t="s">
        <v>9</v>
      </c>
      <c r="N501" s="44">
        <v>45992</v>
      </c>
      <c r="O501" s="39">
        <v>5</v>
      </c>
      <c r="P501" s="39">
        <v>1</v>
      </c>
      <c r="Q501" s="39">
        <v>5</v>
      </c>
      <c r="R501" s="39">
        <v>7</v>
      </c>
      <c r="S501" s="51" t="str">
        <f t="shared" si="38"/>
        <v>Passive</v>
      </c>
    </row>
    <row r="502" ht="14.25" customHeight="1" spans="1:19">
      <c r="A502" s="43" t="s">
        <v>544</v>
      </c>
      <c r="B502" s="43" t="s">
        <v>14</v>
      </c>
      <c r="C502" s="43" t="s">
        <v>22</v>
      </c>
      <c r="D502" s="44">
        <v>45943</v>
      </c>
      <c r="E502" s="44">
        <v>45948</v>
      </c>
      <c r="F502" s="44">
        <v>45949</v>
      </c>
      <c r="G502" s="44">
        <v>45951</v>
      </c>
      <c r="H502" s="45" t="str">
        <f t="shared" si="39"/>
        <v>Delivered</v>
      </c>
      <c r="I502" s="48">
        <f t="shared" si="35"/>
        <v>5</v>
      </c>
      <c r="J502" s="48">
        <f t="shared" si="36"/>
        <v>1</v>
      </c>
      <c r="K502" s="48">
        <f t="shared" si="37"/>
        <v>2</v>
      </c>
      <c r="L502" s="39" t="s">
        <v>9</v>
      </c>
      <c r="N502" s="44">
        <v>45980</v>
      </c>
      <c r="O502" s="39">
        <v>5</v>
      </c>
      <c r="P502" s="39">
        <v>1</v>
      </c>
      <c r="Q502" s="39">
        <v>2</v>
      </c>
      <c r="R502" s="39">
        <v>9</v>
      </c>
      <c r="S502" s="51" t="str">
        <f t="shared" si="38"/>
        <v>Promoter</v>
      </c>
    </row>
    <row r="503" ht="14.25" customHeight="1" spans="1:19">
      <c r="A503" s="43" t="s">
        <v>545</v>
      </c>
      <c r="B503" s="43" t="s">
        <v>11</v>
      </c>
      <c r="C503" s="43" t="s">
        <v>21</v>
      </c>
      <c r="D503" s="44">
        <v>45943</v>
      </c>
      <c r="E503" s="44">
        <v>45948</v>
      </c>
      <c r="F503" s="44">
        <v>45950</v>
      </c>
      <c r="G503" s="44">
        <v>45952</v>
      </c>
      <c r="H503" s="45" t="str">
        <f t="shared" si="39"/>
        <v>Delivered</v>
      </c>
      <c r="I503" s="48">
        <f t="shared" si="35"/>
        <v>5</v>
      </c>
      <c r="J503" s="48">
        <f t="shared" si="36"/>
        <v>2</v>
      </c>
      <c r="K503" s="48">
        <f t="shared" si="37"/>
        <v>2</v>
      </c>
      <c r="L503" s="39" t="s">
        <v>9</v>
      </c>
      <c r="N503" s="44">
        <v>45976</v>
      </c>
      <c r="O503" s="39">
        <v>5</v>
      </c>
      <c r="P503" s="39">
        <v>2</v>
      </c>
      <c r="Q503" s="39">
        <v>2</v>
      </c>
      <c r="R503" s="39">
        <v>4</v>
      </c>
      <c r="S503" s="51" t="str">
        <f t="shared" si="38"/>
        <v>Detractor</v>
      </c>
    </row>
    <row r="504" ht="14.25" customHeight="1" spans="1:19">
      <c r="A504" s="43" t="s">
        <v>546</v>
      </c>
      <c r="B504" s="43" t="s">
        <v>11</v>
      </c>
      <c r="C504" s="43" t="s">
        <v>22</v>
      </c>
      <c r="D504" s="44">
        <v>45952</v>
      </c>
      <c r="E504" s="44">
        <v>45956</v>
      </c>
      <c r="F504" s="44">
        <v>45961</v>
      </c>
      <c r="G504" s="44">
        <v>45967</v>
      </c>
      <c r="H504" s="45" t="str">
        <f t="shared" si="39"/>
        <v>Delivered</v>
      </c>
      <c r="I504" s="48">
        <f t="shared" si="35"/>
        <v>4</v>
      </c>
      <c r="J504" s="48">
        <f t="shared" si="36"/>
        <v>5</v>
      </c>
      <c r="K504" s="48">
        <f t="shared" si="37"/>
        <v>6</v>
      </c>
      <c r="L504" s="39" t="s">
        <v>9</v>
      </c>
      <c r="N504" s="44">
        <v>45982</v>
      </c>
      <c r="O504" s="39">
        <v>4</v>
      </c>
      <c r="P504" s="39">
        <v>5</v>
      </c>
      <c r="Q504" s="39">
        <v>6</v>
      </c>
      <c r="R504" s="39">
        <v>5</v>
      </c>
      <c r="S504" s="51" t="str">
        <f t="shared" si="38"/>
        <v>Detractor</v>
      </c>
    </row>
    <row r="505" ht="14.25" customHeight="1" spans="1:19">
      <c r="A505" s="43" t="s">
        <v>547</v>
      </c>
      <c r="B505" s="43" t="s">
        <v>12</v>
      </c>
      <c r="C505" s="43" t="s">
        <v>22</v>
      </c>
      <c r="D505" s="44">
        <v>45956</v>
      </c>
      <c r="E505" s="44">
        <v>45957</v>
      </c>
      <c r="F505" s="44">
        <v>45962</v>
      </c>
      <c r="G505" s="44">
        <v>45964</v>
      </c>
      <c r="H505" s="45" t="str">
        <f t="shared" si="39"/>
        <v>Delivered</v>
      </c>
      <c r="I505" s="48">
        <f t="shared" si="35"/>
        <v>1</v>
      </c>
      <c r="J505" s="48">
        <f t="shared" si="36"/>
        <v>5</v>
      </c>
      <c r="K505" s="48">
        <f t="shared" si="37"/>
        <v>2</v>
      </c>
      <c r="L505" s="39" t="s">
        <v>9</v>
      </c>
      <c r="N505" s="44">
        <v>45989</v>
      </c>
      <c r="O505" s="39">
        <v>1</v>
      </c>
      <c r="P505" s="39">
        <v>5</v>
      </c>
      <c r="Q505" s="39">
        <v>2</v>
      </c>
      <c r="R505" s="39">
        <v>10</v>
      </c>
      <c r="S505" s="51" t="str">
        <f t="shared" si="38"/>
        <v>Promoter</v>
      </c>
    </row>
    <row r="506" ht="14.25" customHeight="1" spans="1:19">
      <c r="A506" s="43" t="s">
        <v>548</v>
      </c>
      <c r="B506" s="43" t="s">
        <v>13</v>
      </c>
      <c r="C506" s="43" t="s">
        <v>22</v>
      </c>
      <c r="D506" s="44">
        <v>45957</v>
      </c>
      <c r="E506" s="44">
        <v>45960</v>
      </c>
      <c r="F506" s="44">
        <v>45962</v>
      </c>
      <c r="G506" s="44">
        <v>45964</v>
      </c>
      <c r="H506" s="45" t="str">
        <f t="shared" si="39"/>
        <v>Delivered</v>
      </c>
      <c r="I506" s="48">
        <f t="shared" si="35"/>
        <v>3</v>
      </c>
      <c r="J506" s="48">
        <f t="shared" si="36"/>
        <v>2</v>
      </c>
      <c r="K506" s="48">
        <f t="shared" si="37"/>
        <v>2</v>
      </c>
      <c r="L506" s="39" t="s">
        <v>9</v>
      </c>
      <c r="N506" s="44">
        <v>45992</v>
      </c>
      <c r="O506" s="39">
        <v>3</v>
      </c>
      <c r="P506" s="39">
        <v>2</v>
      </c>
      <c r="Q506" s="39">
        <v>2</v>
      </c>
      <c r="R506" s="39">
        <v>1</v>
      </c>
      <c r="S506" s="51" t="str">
        <f t="shared" si="38"/>
        <v>Detractor</v>
      </c>
    </row>
    <row r="507" ht="14.25" customHeight="1" spans="1:19">
      <c r="A507" s="43" t="s">
        <v>549</v>
      </c>
      <c r="B507" s="43" t="s">
        <v>14</v>
      </c>
      <c r="C507" s="43" t="s">
        <v>22</v>
      </c>
      <c r="D507" s="44">
        <v>45951</v>
      </c>
      <c r="E507" s="44">
        <v>45953</v>
      </c>
      <c r="F507" s="44">
        <v>45957</v>
      </c>
      <c r="G507" s="44">
        <v>45961</v>
      </c>
      <c r="H507" s="45" t="str">
        <f t="shared" si="39"/>
        <v>Delivered</v>
      </c>
      <c r="I507" s="48">
        <f t="shared" si="35"/>
        <v>2</v>
      </c>
      <c r="J507" s="48">
        <f t="shared" si="36"/>
        <v>4</v>
      </c>
      <c r="K507" s="48">
        <f t="shared" si="37"/>
        <v>4</v>
      </c>
      <c r="L507" s="39" t="s">
        <v>9</v>
      </c>
      <c r="N507" s="44">
        <v>45988</v>
      </c>
      <c r="O507" s="39">
        <v>2</v>
      </c>
      <c r="P507" s="39">
        <v>4</v>
      </c>
      <c r="Q507" s="39">
        <v>4</v>
      </c>
      <c r="R507" s="39">
        <v>10</v>
      </c>
      <c r="S507" s="51" t="str">
        <f t="shared" si="38"/>
        <v>Promoter</v>
      </c>
    </row>
    <row r="508" ht="14.25" customHeight="1" spans="1:19">
      <c r="A508" s="43" t="s">
        <v>550</v>
      </c>
      <c r="B508" s="43" t="s">
        <v>14</v>
      </c>
      <c r="C508" s="43" t="s">
        <v>22</v>
      </c>
      <c r="D508" s="44">
        <v>45935</v>
      </c>
      <c r="E508" s="44">
        <v>45938</v>
      </c>
      <c r="F508" s="44">
        <v>45940</v>
      </c>
      <c r="G508" s="44">
        <v>45943</v>
      </c>
      <c r="H508" s="45" t="str">
        <f t="shared" si="39"/>
        <v>Delivered</v>
      </c>
      <c r="I508" s="48">
        <f t="shared" si="35"/>
        <v>3</v>
      </c>
      <c r="J508" s="48">
        <f t="shared" si="36"/>
        <v>2</v>
      </c>
      <c r="K508" s="48">
        <f t="shared" si="37"/>
        <v>3</v>
      </c>
      <c r="L508" s="39" t="s">
        <v>9</v>
      </c>
      <c r="N508" s="44">
        <v>45964</v>
      </c>
      <c r="O508" s="39">
        <v>3</v>
      </c>
      <c r="P508" s="39">
        <v>2</v>
      </c>
      <c r="Q508" s="39">
        <v>3</v>
      </c>
      <c r="R508" s="39">
        <v>5</v>
      </c>
      <c r="S508" s="51" t="str">
        <f t="shared" si="38"/>
        <v>Detractor</v>
      </c>
    </row>
    <row r="509" ht="14.25" customHeight="1" spans="1:19">
      <c r="A509" s="43" t="s">
        <v>551</v>
      </c>
      <c r="B509" s="43" t="s">
        <v>12</v>
      </c>
      <c r="C509" s="43" t="s">
        <v>22</v>
      </c>
      <c r="D509" s="44">
        <v>45946</v>
      </c>
      <c r="E509" s="44">
        <v>45947</v>
      </c>
      <c r="F509" s="44">
        <v>45950</v>
      </c>
      <c r="G509" s="44">
        <v>45952</v>
      </c>
      <c r="H509" s="45" t="str">
        <f t="shared" si="39"/>
        <v>Delivered</v>
      </c>
      <c r="I509" s="48">
        <f t="shared" si="35"/>
        <v>1</v>
      </c>
      <c r="J509" s="48">
        <f t="shared" si="36"/>
        <v>3</v>
      </c>
      <c r="K509" s="48">
        <f t="shared" si="37"/>
        <v>2</v>
      </c>
      <c r="L509" s="39" t="s">
        <v>9</v>
      </c>
      <c r="N509" s="44">
        <v>45973</v>
      </c>
      <c r="O509" s="39">
        <v>1</v>
      </c>
      <c r="P509" s="39">
        <v>3</v>
      </c>
      <c r="Q509" s="39">
        <v>2</v>
      </c>
      <c r="R509" s="39">
        <v>5</v>
      </c>
      <c r="S509" s="51" t="str">
        <f t="shared" si="38"/>
        <v>Detractor</v>
      </c>
    </row>
    <row r="510" ht="14.25" customHeight="1" spans="1:19">
      <c r="A510" s="43" t="s">
        <v>552</v>
      </c>
      <c r="B510" s="43" t="s">
        <v>11</v>
      </c>
      <c r="C510" s="43" t="s">
        <v>20</v>
      </c>
      <c r="D510" s="44">
        <v>45961</v>
      </c>
      <c r="H510" s="45" t="str">
        <f t="shared" si="39"/>
        <v>Cancelled</v>
      </c>
      <c r="I510" s="48">
        <f t="shared" si="35"/>
        <v>0</v>
      </c>
      <c r="J510" s="48">
        <f t="shared" si="36"/>
        <v>0</v>
      </c>
      <c r="K510" s="48">
        <f t="shared" si="37"/>
        <v>0</v>
      </c>
      <c r="L510" s="39" t="s">
        <v>10</v>
      </c>
      <c r="M510" s="39" t="s">
        <v>79</v>
      </c>
      <c r="S510" s="51" t="str">
        <f t="shared" si="38"/>
        <v>Detractor</v>
      </c>
    </row>
    <row r="511" ht="14.25" customHeight="1" spans="1:19">
      <c r="A511" s="43" t="s">
        <v>553</v>
      </c>
      <c r="B511" s="43" t="s">
        <v>13</v>
      </c>
      <c r="C511" s="43" t="s">
        <v>22</v>
      </c>
      <c r="D511" s="44">
        <v>45932</v>
      </c>
      <c r="E511" s="44">
        <v>45933</v>
      </c>
      <c r="F511" s="44">
        <v>45936</v>
      </c>
      <c r="G511" s="44">
        <v>45938</v>
      </c>
      <c r="H511" s="45" t="str">
        <f t="shared" si="39"/>
        <v>Delivered</v>
      </c>
      <c r="I511" s="48">
        <f t="shared" si="35"/>
        <v>1</v>
      </c>
      <c r="J511" s="48">
        <f t="shared" si="36"/>
        <v>3</v>
      </c>
      <c r="K511" s="48">
        <f t="shared" si="37"/>
        <v>2</v>
      </c>
      <c r="L511" s="39" t="s">
        <v>9</v>
      </c>
      <c r="N511" s="44">
        <v>45953</v>
      </c>
      <c r="O511" s="39">
        <v>1</v>
      </c>
      <c r="P511" s="39">
        <v>3</v>
      </c>
      <c r="Q511" s="39">
        <v>2</v>
      </c>
      <c r="R511" s="39">
        <v>7</v>
      </c>
      <c r="S511" s="51" t="str">
        <f t="shared" si="38"/>
        <v>Passive</v>
      </c>
    </row>
    <row r="512" ht="14.25" customHeight="1" spans="1:19">
      <c r="A512" s="43" t="s">
        <v>554</v>
      </c>
      <c r="B512" s="43" t="s">
        <v>11</v>
      </c>
      <c r="C512" s="43" t="s">
        <v>20</v>
      </c>
      <c r="D512" s="44">
        <v>45935</v>
      </c>
      <c r="H512" s="45" t="str">
        <f t="shared" si="39"/>
        <v>Cancelled</v>
      </c>
      <c r="I512" s="48">
        <f t="shared" si="35"/>
        <v>0</v>
      </c>
      <c r="J512" s="48">
        <f t="shared" si="36"/>
        <v>0</v>
      </c>
      <c r="K512" s="48">
        <f t="shared" si="37"/>
        <v>0</v>
      </c>
      <c r="L512" s="39" t="s">
        <v>10</v>
      </c>
      <c r="M512" s="39" t="s">
        <v>49</v>
      </c>
      <c r="S512" s="51" t="str">
        <f t="shared" si="38"/>
        <v>Detractor</v>
      </c>
    </row>
    <row r="513" ht="14.25" customHeight="1" spans="1:19">
      <c r="A513" s="43" t="s">
        <v>555</v>
      </c>
      <c r="B513" s="43" t="s">
        <v>11</v>
      </c>
      <c r="C513" s="43" t="s">
        <v>21</v>
      </c>
      <c r="D513" s="44">
        <v>45947</v>
      </c>
      <c r="E513" s="44">
        <v>45949</v>
      </c>
      <c r="F513" s="44">
        <v>45950</v>
      </c>
      <c r="G513" s="44">
        <v>45955</v>
      </c>
      <c r="H513" s="45" t="str">
        <f t="shared" si="39"/>
        <v>Delivered</v>
      </c>
      <c r="I513" s="48">
        <f t="shared" si="35"/>
        <v>2</v>
      </c>
      <c r="J513" s="48">
        <f t="shared" si="36"/>
        <v>1</v>
      </c>
      <c r="K513" s="48">
        <f t="shared" si="37"/>
        <v>5</v>
      </c>
      <c r="L513" s="39" t="s">
        <v>9</v>
      </c>
      <c r="N513" s="44">
        <v>45973</v>
      </c>
      <c r="O513" s="39">
        <v>2</v>
      </c>
      <c r="P513" s="39">
        <v>1</v>
      </c>
      <c r="Q513" s="39">
        <v>5</v>
      </c>
      <c r="R513" s="39">
        <v>7</v>
      </c>
      <c r="S513" s="51" t="str">
        <f t="shared" si="38"/>
        <v>Passive</v>
      </c>
    </row>
    <row r="514" ht="14.25" customHeight="1" spans="1:19">
      <c r="A514" s="43" t="s">
        <v>556</v>
      </c>
      <c r="B514" s="43" t="s">
        <v>11</v>
      </c>
      <c r="C514" s="43" t="s">
        <v>20</v>
      </c>
      <c r="D514" s="44">
        <v>45961</v>
      </c>
      <c r="H514" s="45" t="str">
        <f t="shared" si="39"/>
        <v>Cancelled</v>
      </c>
      <c r="I514" s="48">
        <f t="shared" si="35"/>
        <v>0</v>
      </c>
      <c r="J514" s="48">
        <f t="shared" si="36"/>
        <v>0</v>
      </c>
      <c r="K514" s="48">
        <f t="shared" si="37"/>
        <v>0</v>
      </c>
      <c r="L514" s="39" t="s">
        <v>10</v>
      </c>
      <c r="M514" s="39" t="s">
        <v>42</v>
      </c>
      <c r="S514" s="51" t="str">
        <f t="shared" si="38"/>
        <v>Detractor</v>
      </c>
    </row>
    <row r="515" ht="14.25" customHeight="1" spans="1:19">
      <c r="A515" s="43" t="s">
        <v>557</v>
      </c>
      <c r="B515" s="43" t="s">
        <v>11</v>
      </c>
      <c r="C515" s="43" t="s">
        <v>22</v>
      </c>
      <c r="D515" s="44">
        <v>45949</v>
      </c>
      <c r="E515" s="44">
        <v>45953</v>
      </c>
      <c r="F515" s="44">
        <v>45955</v>
      </c>
      <c r="G515" s="44">
        <v>45961</v>
      </c>
      <c r="H515" s="45" t="str">
        <f t="shared" si="39"/>
        <v>Delivered</v>
      </c>
      <c r="I515" s="48">
        <f t="shared" ref="I515:I578" si="40">IF(E515&gt;D515,E515-D515,0)</f>
        <v>4</v>
      </c>
      <c r="J515" s="48">
        <f t="shared" ref="J515:J578" si="41">IF(F515&gt;E515,F515-E515,0)</f>
        <v>2</v>
      </c>
      <c r="K515" s="48">
        <f t="shared" ref="K515:K578" si="42">IF(G515&gt;F515,G515-F515,0)</f>
        <v>6</v>
      </c>
      <c r="L515" s="39" t="s">
        <v>9</v>
      </c>
      <c r="N515" s="44">
        <v>45973</v>
      </c>
      <c r="O515" s="39">
        <v>4</v>
      </c>
      <c r="P515" s="39">
        <v>2</v>
      </c>
      <c r="Q515" s="39">
        <v>6</v>
      </c>
      <c r="R515" s="39">
        <v>3</v>
      </c>
      <c r="S515" s="51" t="str">
        <f t="shared" ref="S515:S578" si="43">IF(R515&gt;=9,"Promoter",IF(R515&gt;=7,"Passive","Detractor"))</f>
        <v>Detractor</v>
      </c>
    </row>
    <row r="516" ht="14.25" customHeight="1" spans="1:19">
      <c r="A516" s="43" t="s">
        <v>558</v>
      </c>
      <c r="B516" s="43" t="s">
        <v>14</v>
      </c>
      <c r="C516" s="43" t="s">
        <v>22</v>
      </c>
      <c r="D516" s="44">
        <v>45941</v>
      </c>
      <c r="E516" s="44">
        <v>45946</v>
      </c>
      <c r="F516" s="44">
        <v>45948</v>
      </c>
      <c r="G516" s="44">
        <v>45952</v>
      </c>
      <c r="H516" s="45" t="str">
        <f t="shared" si="39"/>
        <v>Delivered</v>
      </c>
      <c r="I516" s="48">
        <f t="shared" si="40"/>
        <v>5</v>
      </c>
      <c r="J516" s="48">
        <f t="shared" si="41"/>
        <v>2</v>
      </c>
      <c r="K516" s="48">
        <f t="shared" si="42"/>
        <v>4</v>
      </c>
      <c r="L516" s="39" t="s">
        <v>9</v>
      </c>
      <c r="N516" s="44">
        <v>45971</v>
      </c>
      <c r="O516" s="39">
        <v>5</v>
      </c>
      <c r="P516" s="39">
        <v>2</v>
      </c>
      <c r="Q516" s="39">
        <v>4</v>
      </c>
      <c r="R516" s="39">
        <v>5</v>
      </c>
      <c r="S516" s="51" t="str">
        <f t="shared" si="43"/>
        <v>Detractor</v>
      </c>
    </row>
    <row r="517" ht="14.25" customHeight="1" spans="1:19">
      <c r="A517" s="43" t="s">
        <v>559</v>
      </c>
      <c r="B517" s="43" t="s">
        <v>14</v>
      </c>
      <c r="C517" s="43" t="s">
        <v>21</v>
      </c>
      <c r="D517" s="44">
        <v>45958</v>
      </c>
      <c r="E517" s="44">
        <v>45962</v>
      </c>
      <c r="F517" s="44">
        <v>45963</v>
      </c>
      <c r="G517" s="44">
        <v>45970</v>
      </c>
      <c r="H517" s="45" t="str">
        <f t="shared" ref="H517:H580" si="44">IF(G517&lt;&gt;"","Delivered",IF(F517&lt;&gt;"","Booked",IF(E517&lt;&gt;"","Pre-Booked",IF(D517&lt;&gt;"","Cancelled",""))))</f>
        <v>Delivered</v>
      </c>
      <c r="I517" s="48">
        <f t="shared" si="40"/>
        <v>4</v>
      </c>
      <c r="J517" s="48">
        <f t="shared" si="41"/>
        <v>1</v>
      </c>
      <c r="K517" s="48">
        <f t="shared" si="42"/>
        <v>7</v>
      </c>
      <c r="L517" s="39" t="s">
        <v>10</v>
      </c>
      <c r="M517" s="39" t="s">
        <v>42</v>
      </c>
      <c r="O517" s="39">
        <v>4</v>
      </c>
      <c r="P517" s="39">
        <v>1</v>
      </c>
      <c r="Q517" s="39">
        <v>7</v>
      </c>
      <c r="S517" s="51" t="str">
        <f t="shared" si="43"/>
        <v>Detractor</v>
      </c>
    </row>
    <row r="518" ht="14.25" customHeight="1" spans="1:19">
      <c r="A518" s="43" t="s">
        <v>560</v>
      </c>
      <c r="B518" s="43" t="s">
        <v>11</v>
      </c>
      <c r="C518" s="43" t="s">
        <v>22</v>
      </c>
      <c r="D518" s="44">
        <v>45934</v>
      </c>
      <c r="E518" s="44">
        <v>45935</v>
      </c>
      <c r="F518" s="44">
        <v>45939</v>
      </c>
      <c r="G518" s="44">
        <v>45946</v>
      </c>
      <c r="H518" s="45" t="str">
        <f t="shared" si="44"/>
        <v>Delivered</v>
      </c>
      <c r="I518" s="48">
        <f t="shared" si="40"/>
        <v>1</v>
      </c>
      <c r="J518" s="48">
        <f t="shared" si="41"/>
        <v>4</v>
      </c>
      <c r="K518" s="48">
        <f t="shared" si="42"/>
        <v>7</v>
      </c>
      <c r="L518" s="39" t="s">
        <v>9</v>
      </c>
      <c r="N518" s="44">
        <v>45956</v>
      </c>
      <c r="O518" s="39">
        <v>1</v>
      </c>
      <c r="P518" s="39">
        <v>4</v>
      </c>
      <c r="Q518" s="39">
        <v>7</v>
      </c>
      <c r="R518" s="39">
        <v>2</v>
      </c>
      <c r="S518" s="51" t="str">
        <f t="shared" si="43"/>
        <v>Detractor</v>
      </c>
    </row>
    <row r="519" ht="14.25" customHeight="1" spans="1:19">
      <c r="A519" s="43" t="s">
        <v>561</v>
      </c>
      <c r="B519" s="43" t="s">
        <v>13</v>
      </c>
      <c r="C519" s="43" t="s">
        <v>21</v>
      </c>
      <c r="D519" s="44">
        <v>45958</v>
      </c>
      <c r="E519" s="44">
        <v>45959</v>
      </c>
      <c r="F519" s="44">
        <v>45961</v>
      </c>
      <c r="G519" s="44">
        <v>45967</v>
      </c>
      <c r="H519" s="45" t="str">
        <f t="shared" si="44"/>
        <v>Delivered</v>
      </c>
      <c r="I519" s="48">
        <f t="shared" si="40"/>
        <v>1</v>
      </c>
      <c r="J519" s="48">
        <f t="shared" si="41"/>
        <v>2</v>
      </c>
      <c r="K519" s="48">
        <f t="shared" si="42"/>
        <v>6</v>
      </c>
      <c r="L519" s="39" t="s">
        <v>9</v>
      </c>
      <c r="N519" s="44">
        <v>45989</v>
      </c>
      <c r="O519" s="39">
        <v>1</v>
      </c>
      <c r="P519" s="39">
        <v>2</v>
      </c>
      <c r="Q519" s="39">
        <v>6</v>
      </c>
      <c r="R519" s="39">
        <v>1</v>
      </c>
      <c r="S519" s="51" t="str">
        <f t="shared" si="43"/>
        <v>Detractor</v>
      </c>
    </row>
    <row r="520" ht="14.25" customHeight="1" spans="1:19">
      <c r="A520" s="43" t="s">
        <v>562</v>
      </c>
      <c r="B520" s="43" t="s">
        <v>12</v>
      </c>
      <c r="C520" s="43" t="s">
        <v>21</v>
      </c>
      <c r="D520" s="44">
        <v>45958</v>
      </c>
      <c r="E520" s="44">
        <v>45962</v>
      </c>
      <c r="F520" s="44">
        <v>45967</v>
      </c>
      <c r="G520" s="44">
        <v>45972</v>
      </c>
      <c r="H520" s="45" t="str">
        <f t="shared" si="44"/>
        <v>Delivered</v>
      </c>
      <c r="I520" s="48">
        <f t="shared" si="40"/>
        <v>4</v>
      </c>
      <c r="J520" s="48">
        <f t="shared" si="41"/>
        <v>5</v>
      </c>
      <c r="K520" s="48">
        <f t="shared" si="42"/>
        <v>5</v>
      </c>
      <c r="L520" s="39" t="s">
        <v>9</v>
      </c>
      <c r="N520" s="44">
        <v>45983</v>
      </c>
      <c r="O520" s="39">
        <v>4</v>
      </c>
      <c r="P520" s="39">
        <v>5</v>
      </c>
      <c r="Q520" s="39">
        <v>5</v>
      </c>
      <c r="R520" s="39">
        <v>10</v>
      </c>
      <c r="S520" s="51" t="str">
        <f t="shared" si="43"/>
        <v>Promoter</v>
      </c>
    </row>
    <row r="521" ht="14.25" customHeight="1" spans="1:19">
      <c r="A521" s="43" t="s">
        <v>563</v>
      </c>
      <c r="B521" s="43" t="s">
        <v>13</v>
      </c>
      <c r="C521" s="43" t="s">
        <v>22</v>
      </c>
      <c r="D521" s="44">
        <v>45945</v>
      </c>
      <c r="E521" s="44">
        <v>45950</v>
      </c>
      <c r="F521" s="44">
        <v>45952</v>
      </c>
      <c r="G521" s="44">
        <v>45957</v>
      </c>
      <c r="H521" s="45" t="str">
        <f t="shared" si="44"/>
        <v>Delivered</v>
      </c>
      <c r="I521" s="48">
        <f t="shared" si="40"/>
        <v>5</v>
      </c>
      <c r="J521" s="48">
        <f t="shared" si="41"/>
        <v>2</v>
      </c>
      <c r="K521" s="48">
        <f t="shared" si="42"/>
        <v>5</v>
      </c>
      <c r="L521" s="39" t="s">
        <v>9</v>
      </c>
      <c r="N521" s="44">
        <v>45972</v>
      </c>
      <c r="O521" s="39">
        <v>5</v>
      </c>
      <c r="P521" s="39">
        <v>2</v>
      </c>
      <c r="Q521" s="39">
        <v>5</v>
      </c>
      <c r="R521" s="39">
        <v>6</v>
      </c>
      <c r="S521" s="51" t="str">
        <f t="shared" si="43"/>
        <v>Detractor</v>
      </c>
    </row>
    <row r="522" ht="14.25" customHeight="1" spans="1:19">
      <c r="A522" s="43" t="s">
        <v>564</v>
      </c>
      <c r="B522" s="43" t="s">
        <v>13</v>
      </c>
      <c r="C522" s="43" t="s">
        <v>22</v>
      </c>
      <c r="D522" s="44">
        <v>45934</v>
      </c>
      <c r="E522" s="44">
        <v>45939</v>
      </c>
      <c r="F522" s="44">
        <v>45943</v>
      </c>
      <c r="G522" s="44">
        <v>45950</v>
      </c>
      <c r="H522" s="45" t="str">
        <f t="shared" si="44"/>
        <v>Delivered</v>
      </c>
      <c r="I522" s="48">
        <f t="shared" si="40"/>
        <v>5</v>
      </c>
      <c r="J522" s="48">
        <f t="shared" si="41"/>
        <v>4</v>
      </c>
      <c r="K522" s="48">
        <f t="shared" si="42"/>
        <v>7</v>
      </c>
      <c r="L522" s="39" t="s">
        <v>9</v>
      </c>
      <c r="N522" s="44">
        <v>45978</v>
      </c>
      <c r="O522" s="39">
        <v>5</v>
      </c>
      <c r="P522" s="39">
        <v>4</v>
      </c>
      <c r="Q522" s="39">
        <v>7</v>
      </c>
      <c r="R522" s="39">
        <v>7</v>
      </c>
      <c r="S522" s="51" t="str">
        <f t="shared" si="43"/>
        <v>Passive</v>
      </c>
    </row>
    <row r="523" ht="14.25" customHeight="1" spans="1:19">
      <c r="A523" s="43" t="s">
        <v>565</v>
      </c>
      <c r="B523" s="43" t="s">
        <v>13</v>
      </c>
      <c r="C523" s="43" t="s">
        <v>22</v>
      </c>
      <c r="D523" s="44">
        <v>45947</v>
      </c>
      <c r="E523" s="44">
        <v>45948</v>
      </c>
      <c r="F523" s="44">
        <v>45950</v>
      </c>
      <c r="G523" s="44">
        <v>45955</v>
      </c>
      <c r="H523" s="45" t="str">
        <f t="shared" si="44"/>
        <v>Delivered</v>
      </c>
      <c r="I523" s="48">
        <f t="shared" si="40"/>
        <v>1</v>
      </c>
      <c r="J523" s="48">
        <f t="shared" si="41"/>
        <v>2</v>
      </c>
      <c r="K523" s="48">
        <f t="shared" si="42"/>
        <v>5</v>
      </c>
      <c r="L523" s="39" t="s">
        <v>9</v>
      </c>
      <c r="N523" s="44">
        <v>45971</v>
      </c>
      <c r="O523" s="39">
        <v>1</v>
      </c>
      <c r="P523" s="39">
        <v>2</v>
      </c>
      <c r="Q523" s="39">
        <v>5</v>
      </c>
      <c r="R523" s="39">
        <v>4</v>
      </c>
      <c r="S523" s="51" t="str">
        <f t="shared" si="43"/>
        <v>Detractor</v>
      </c>
    </row>
    <row r="524" ht="14.25" customHeight="1" spans="1:19">
      <c r="A524" s="43" t="s">
        <v>566</v>
      </c>
      <c r="B524" s="43" t="s">
        <v>11</v>
      </c>
      <c r="C524" s="43" t="s">
        <v>20</v>
      </c>
      <c r="D524" s="44">
        <v>45960</v>
      </c>
      <c r="H524" s="45" t="str">
        <f t="shared" si="44"/>
        <v>Cancelled</v>
      </c>
      <c r="I524" s="48">
        <f t="shared" si="40"/>
        <v>0</v>
      </c>
      <c r="J524" s="48">
        <f t="shared" si="41"/>
        <v>0</v>
      </c>
      <c r="K524" s="48">
        <f t="shared" si="42"/>
        <v>0</v>
      </c>
      <c r="L524" s="39" t="s">
        <v>10</v>
      </c>
      <c r="M524" s="39" t="s">
        <v>117</v>
      </c>
      <c r="S524" s="51" t="str">
        <f t="shared" si="43"/>
        <v>Detractor</v>
      </c>
    </row>
    <row r="525" ht="14.25" customHeight="1" spans="1:19">
      <c r="A525" s="43" t="s">
        <v>567</v>
      </c>
      <c r="B525" s="43" t="s">
        <v>14</v>
      </c>
      <c r="C525" s="43" t="s">
        <v>22</v>
      </c>
      <c r="D525" s="44">
        <v>45945</v>
      </c>
      <c r="E525" s="44">
        <v>45950</v>
      </c>
      <c r="F525" s="44">
        <v>45955</v>
      </c>
      <c r="G525" s="44">
        <v>45957</v>
      </c>
      <c r="H525" s="45" t="str">
        <f t="shared" si="44"/>
        <v>Delivered</v>
      </c>
      <c r="I525" s="48">
        <f t="shared" si="40"/>
        <v>5</v>
      </c>
      <c r="J525" s="48">
        <f t="shared" si="41"/>
        <v>5</v>
      </c>
      <c r="K525" s="48">
        <f t="shared" si="42"/>
        <v>2</v>
      </c>
      <c r="L525" s="39" t="s">
        <v>9</v>
      </c>
      <c r="N525" s="44">
        <v>45974</v>
      </c>
      <c r="O525" s="39">
        <v>5</v>
      </c>
      <c r="P525" s="39">
        <v>5</v>
      </c>
      <c r="Q525" s="39">
        <v>2</v>
      </c>
      <c r="R525" s="39">
        <v>4</v>
      </c>
      <c r="S525" s="51" t="str">
        <f t="shared" si="43"/>
        <v>Detractor</v>
      </c>
    </row>
    <row r="526" ht="14.25" customHeight="1" spans="1:19">
      <c r="A526" s="43" t="s">
        <v>568</v>
      </c>
      <c r="B526" s="43" t="s">
        <v>13</v>
      </c>
      <c r="C526" s="43" t="s">
        <v>22</v>
      </c>
      <c r="D526" s="44">
        <v>45931</v>
      </c>
      <c r="E526" s="44">
        <v>45936</v>
      </c>
      <c r="F526" s="44">
        <v>45939</v>
      </c>
      <c r="G526" s="44">
        <v>45946</v>
      </c>
      <c r="H526" s="45" t="str">
        <f t="shared" si="44"/>
        <v>Delivered</v>
      </c>
      <c r="I526" s="48">
        <f t="shared" si="40"/>
        <v>5</v>
      </c>
      <c r="J526" s="48">
        <f t="shared" si="41"/>
        <v>3</v>
      </c>
      <c r="K526" s="48">
        <f t="shared" si="42"/>
        <v>7</v>
      </c>
      <c r="L526" s="39" t="s">
        <v>9</v>
      </c>
      <c r="N526" s="44">
        <v>45976</v>
      </c>
      <c r="O526" s="39">
        <v>5</v>
      </c>
      <c r="P526" s="39">
        <v>3</v>
      </c>
      <c r="Q526" s="39">
        <v>7</v>
      </c>
      <c r="R526" s="39">
        <v>8</v>
      </c>
      <c r="S526" s="51" t="str">
        <f t="shared" si="43"/>
        <v>Passive</v>
      </c>
    </row>
    <row r="527" ht="14.25" customHeight="1" spans="1:19">
      <c r="A527" s="43" t="s">
        <v>569</v>
      </c>
      <c r="B527" s="43" t="s">
        <v>11</v>
      </c>
      <c r="C527" s="43" t="s">
        <v>21</v>
      </c>
      <c r="D527" s="44">
        <v>45954</v>
      </c>
      <c r="E527" s="44">
        <v>45956</v>
      </c>
      <c r="F527" s="44">
        <v>45959</v>
      </c>
      <c r="G527" s="44">
        <v>45965</v>
      </c>
      <c r="H527" s="45" t="str">
        <f t="shared" si="44"/>
        <v>Delivered</v>
      </c>
      <c r="I527" s="48">
        <f t="shared" si="40"/>
        <v>2</v>
      </c>
      <c r="J527" s="48">
        <f t="shared" si="41"/>
        <v>3</v>
      </c>
      <c r="K527" s="48">
        <f t="shared" si="42"/>
        <v>6</v>
      </c>
      <c r="L527" s="39" t="s">
        <v>9</v>
      </c>
      <c r="N527" s="44">
        <v>45982</v>
      </c>
      <c r="O527" s="39">
        <v>2</v>
      </c>
      <c r="P527" s="39">
        <v>3</v>
      </c>
      <c r="Q527" s="39">
        <v>6</v>
      </c>
      <c r="R527" s="39">
        <v>8</v>
      </c>
      <c r="S527" s="51" t="str">
        <f t="shared" si="43"/>
        <v>Passive</v>
      </c>
    </row>
    <row r="528" ht="14.25" customHeight="1" spans="1:19">
      <c r="A528" s="43" t="s">
        <v>570</v>
      </c>
      <c r="B528" s="43" t="s">
        <v>13</v>
      </c>
      <c r="C528" s="43" t="s">
        <v>22</v>
      </c>
      <c r="D528" s="44">
        <v>45935</v>
      </c>
      <c r="E528" s="44">
        <v>45937</v>
      </c>
      <c r="F528" s="44">
        <v>45941</v>
      </c>
      <c r="G528" s="44">
        <v>45947</v>
      </c>
      <c r="H528" s="45" t="str">
        <f t="shared" si="44"/>
        <v>Delivered</v>
      </c>
      <c r="I528" s="48">
        <f t="shared" si="40"/>
        <v>2</v>
      </c>
      <c r="J528" s="48">
        <f t="shared" si="41"/>
        <v>4</v>
      </c>
      <c r="K528" s="48">
        <f t="shared" si="42"/>
        <v>6</v>
      </c>
      <c r="L528" s="39" t="s">
        <v>9</v>
      </c>
      <c r="N528" s="44">
        <v>45963</v>
      </c>
      <c r="O528" s="39">
        <v>2</v>
      </c>
      <c r="P528" s="39">
        <v>4</v>
      </c>
      <c r="Q528" s="39">
        <v>6</v>
      </c>
      <c r="R528" s="39">
        <v>6</v>
      </c>
      <c r="S528" s="51" t="str">
        <f t="shared" si="43"/>
        <v>Detractor</v>
      </c>
    </row>
    <row r="529" ht="14.25" customHeight="1" spans="1:19">
      <c r="A529" s="43" t="s">
        <v>571</v>
      </c>
      <c r="B529" s="43" t="s">
        <v>13</v>
      </c>
      <c r="C529" s="43" t="s">
        <v>22</v>
      </c>
      <c r="D529" s="44">
        <v>45944</v>
      </c>
      <c r="E529" s="44">
        <v>45947</v>
      </c>
      <c r="F529" s="44">
        <v>45951</v>
      </c>
      <c r="G529" s="44">
        <v>45957</v>
      </c>
      <c r="H529" s="45" t="str">
        <f t="shared" si="44"/>
        <v>Delivered</v>
      </c>
      <c r="I529" s="48">
        <f t="shared" si="40"/>
        <v>3</v>
      </c>
      <c r="J529" s="48">
        <f t="shared" si="41"/>
        <v>4</v>
      </c>
      <c r="K529" s="48">
        <f t="shared" si="42"/>
        <v>6</v>
      </c>
      <c r="L529" s="39" t="s">
        <v>9</v>
      </c>
      <c r="N529" s="44">
        <v>45975</v>
      </c>
      <c r="O529" s="39">
        <v>3</v>
      </c>
      <c r="P529" s="39">
        <v>4</v>
      </c>
      <c r="Q529" s="39">
        <v>6</v>
      </c>
      <c r="R529" s="39">
        <v>4</v>
      </c>
      <c r="S529" s="51" t="str">
        <f t="shared" si="43"/>
        <v>Detractor</v>
      </c>
    </row>
    <row r="530" ht="14.25" customHeight="1" spans="1:19">
      <c r="A530" s="43" t="s">
        <v>572</v>
      </c>
      <c r="B530" s="43" t="s">
        <v>11</v>
      </c>
      <c r="C530" s="43" t="s">
        <v>20</v>
      </c>
      <c r="D530" s="44">
        <v>45958</v>
      </c>
      <c r="H530" s="45" t="str">
        <f t="shared" si="44"/>
        <v>Cancelled</v>
      </c>
      <c r="I530" s="48">
        <f t="shared" si="40"/>
        <v>0</v>
      </c>
      <c r="J530" s="48">
        <f t="shared" si="41"/>
        <v>0</v>
      </c>
      <c r="K530" s="48">
        <f t="shared" si="42"/>
        <v>0</v>
      </c>
      <c r="L530" s="39" t="s">
        <v>10</v>
      </c>
      <c r="M530" s="39" t="s">
        <v>79</v>
      </c>
      <c r="S530" s="51" t="str">
        <f t="shared" si="43"/>
        <v>Detractor</v>
      </c>
    </row>
    <row r="531" ht="14.25" customHeight="1" spans="1:19">
      <c r="A531" s="43" t="s">
        <v>573</v>
      </c>
      <c r="B531" s="43" t="s">
        <v>14</v>
      </c>
      <c r="C531" s="43" t="s">
        <v>20</v>
      </c>
      <c r="D531" s="44">
        <v>45951</v>
      </c>
      <c r="H531" s="45" t="str">
        <f t="shared" si="44"/>
        <v>Cancelled</v>
      </c>
      <c r="I531" s="48">
        <f t="shared" si="40"/>
        <v>0</v>
      </c>
      <c r="J531" s="48">
        <f t="shared" si="41"/>
        <v>0</v>
      </c>
      <c r="K531" s="48">
        <f t="shared" si="42"/>
        <v>0</v>
      </c>
      <c r="L531" s="39" t="s">
        <v>10</v>
      </c>
      <c r="M531" s="39" t="s">
        <v>44</v>
      </c>
      <c r="S531" s="51" t="str">
        <f t="shared" si="43"/>
        <v>Detractor</v>
      </c>
    </row>
    <row r="532" ht="14.25" customHeight="1" spans="1:19">
      <c r="A532" s="43" t="s">
        <v>574</v>
      </c>
      <c r="B532" s="43" t="s">
        <v>14</v>
      </c>
      <c r="C532" s="43" t="s">
        <v>22</v>
      </c>
      <c r="D532" s="44">
        <v>45935</v>
      </c>
      <c r="E532" s="44">
        <v>45939</v>
      </c>
      <c r="F532" s="44">
        <v>45944</v>
      </c>
      <c r="G532" s="44">
        <v>45947</v>
      </c>
      <c r="H532" s="45" t="str">
        <f t="shared" si="44"/>
        <v>Delivered</v>
      </c>
      <c r="I532" s="48">
        <f t="shared" si="40"/>
        <v>4</v>
      </c>
      <c r="J532" s="48">
        <f t="shared" si="41"/>
        <v>5</v>
      </c>
      <c r="K532" s="48">
        <f t="shared" si="42"/>
        <v>3</v>
      </c>
      <c r="L532" s="39" t="s">
        <v>9</v>
      </c>
      <c r="N532" s="44">
        <v>45977</v>
      </c>
      <c r="O532" s="39">
        <v>4</v>
      </c>
      <c r="P532" s="39">
        <v>5</v>
      </c>
      <c r="Q532" s="39">
        <v>3</v>
      </c>
      <c r="R532" s="39">
        <v>2</v>
      </c>
      <c r="S532" s="51" t="str">
        <f t="shared" si="43"/>
        <v>Detractor</v>
      </c>
    </row>
    <row r="533" ht="14.25" customHeight="1" spans="1:19">
      <c r="A533" s="43" t="s">
        <v>575</v>
      </c>
      <c r="B533" s="43" t="s">
        <v>12</v>
      </c>
      <c r="C533" s="43" t="s">
        <v>21</v>
      </c>
      <c r="D533" s="44">
        <v>45933</v>
      </c>
      <c r="E533" s="44">
        <v>45934</v>
      </c>
      <c r="F533" s="44">
        <v>45937</v>
      </c>
      <c r="G533" s="44">
        <v>45941</v>
      </c>
      <c r="H533" s="45" t="str">
        <f t="shared" si="44"/>
        <v>Delivered</v>
      </c>
      <c r="I533" s="48">
        <f t="shared" si="40"/>
        <v>1</v>
      </c>
      <c r="J533" s="48">
        <f t="shared" si="41"/>
        <v>3</v>
      </c>
      <c r="K533" s="48">
        <f t="shared" si="42"/>
        <v>4</v>
      </c>
      <c r="L533" s="39" t="s">
        <v>9</v>
      </c>
      <c r="N533" s="44">
        <v>45964</v>
      </c>
      <c r="O533" s="39">
        <v>1</v>
      </c>
      <c r="P533" s="39">
        <v>3</v>
      </c>
      <c r="Q533" s="39">
        <v>4</v>
      </c>
      <c r="R533" s="39">
        <v>2</v>
      </c>
      <c r="S533" s="51" t="str">
        <f t="shared" si="43"/>
        <v>Detractor</v>
      </c>
    </row>
    <row r="534" ht="14.25" customHeight="1" spans="1:19">
      <c r="A534" s="43" t="s">
        <v>576</v>
      </c>
      <c r="B534" s="43" t="s">
        <v>11</v>
      </c>
      <c r="C534" s="43" t="s">
        <v>20</v>
      </c>
      <c r="D534" s="44">
        <v>45946</v>
      </c>
      <c r="H534" s="45" t="str">
        <f t="shared" si="44"/>
        <v>Cancelled</v>
      </c>
      <c r="I534" s="48">
        <f t="shared" si="40"/>
        <v>0</v>
      </c>
      <c r="J534" s="48">
        <f t="shared" si="41"/>
        <v>0</v>
      </c>
      <c r="K534" s="48">
        <f t="shared" si="42"/>
        <v>0</v>
      </c>
      <c r="L534" s="39" t="s">
        <v>10</v>
      </c>
      <c r="M534" s="39" t="s">
        <v>44</v>
      </c>
      <c r="S534" s="51" t="str">
        <f t="shared" si="43"/>
        <v>Detractor</v>
      </c>
    </row>
    <row r="535" ht="14.25" customHeight="1" spans="1:19">
      <c r="A535" s="43" t="s">
        <v>577</v>
      </c>
      <c r="B535" s="43" t="s">
        <v>12</v>
      </c>
      <c r="C535" s="43" t="s">
        <v>22</v>
      </c>
      <c r="D535" s="44">
        <v>45956</v>
      </c>
      <c r="E535" s="44">
        <v>45961</v>
      </c>
      <c r="F535" s="44">
        <v>45964</v>
      </c>
      <c r="G535" s="44">
        <v>45966</v>
      </c>
      <c r="H535" s="45" t="str">
        <f t="shared" si="44"/>
        <v>Delivered</v>
      </c>
      <c r="I535" s="48">
        <f t="shared" si="40"/>
        <v>5</v>
      </c>
      <c r="J535" s="48">
        <f t="shared" si="41"/>
        <v>3</v>
      </c>
      <c r="K535" s="48">
        <f t="shared" si="42"/>
        <v>2</v>
      </c>
      <c r="L535" s="39" t="s">
        <v>9</v>
      </c>
      <c r="N535" s="44">
        <v>45992</v>
      </c>
      <c r="O535" s="39">
        <v>5</v>
      </c>
      <c r="P535" s="39">
        <v>3</v>
      </c>
      <c r="Q535" s="39">
        <v>2</v>
      </c>
      <c r="R535" s="39">
        <v>1</v>
      </c>
      <c r="S535" s="51" t="str">
        <f t="shared" si="43"/>
        <v>Detractor</v>
      </c>
    </row>
    <row r="536" ht="14.25" customHeight="1" spans="1:19">
      <c r="A536" s="43" t="s">
        <v>578</v>
      </c>
      <c r="B536" s="43" t="s">
        <v>12</v>
      </c>
      <c r="C536" s="43" t="s">
        <v>21</v>
      </c>
      <c r="D536" s="44">
        <v>45939</v>
      </c>
      <c r="E536" s="44">
        <v>45942</v>
      </c>
      <c r="F536" s="44">
        <v>45945</v>
      </c>
      <c r="G536" s="44">
        <v>45949</v>
      </c>
      <c r="H536" s="45" t="str">
        <f t="shared" si="44"/>
        <v>Delivered</v>
      </c>
      <c r="I536" s="48">
        <f t="shared" si="40"/>
        <v>3</v>
      </c>
      <c r="J536" s="48">
        <f t="shared" si="41"/>
        <v>3</v>
      </c>
      <c r="K536" s="48">
        <f t="shared" si="42"/>
        <v>4</v>
      </c>
      <c r="L536" s="39" t="s">
        <v>9</v>
      </c>
      <c r="N536" s="44">
        <v>45959</v>
      </c>
      <c r="O536" s="39">
        <v>3</v>
      </c>
      <c r="P536" s="39">
        <v>3</v>
      </c>
      <c r="Q536" s="39">
        <v>4</v>
      </c>
      <c r="R536" s="39">
        <v>0</v>
      </c>
      <c r="S536" s="51" t="str">
        <f t="shared" si="43"/>
        <v>Detractor</v>
      </c>
    </row>
    <row r="537" ht="14.25" customHeight="1" spans="1:19">
      <c r="A537" s="43" t="s">
        <v>579</v>
      </c>
      <c r="B537" s="43" t="s">
        <v>12</v>
      </c>
      <c r="C537" s="43" t="s">
        <v>21</v>
      </c>
      <c r="D537" s="44">
        <v>45941</v>
      </c>
      <c r="E537" s="44">
        <v>45943</v>
      </c>
      <c r="F537" s="44">
        <v>45946</v>
      </c>
      <c r="G537" s="44">
        <v>45948</v>
      </c>
      <c r="H537" s="45" t="str">
        <f t="shared" si="44"/>
        <v>Delivered</v>
      </c>
      <c r="I537" s="48">
        <f t="shared" si="40"/>
        <v>2</v>
      </c>
      <c r="J537" s="48">
        <f t="shared" si="41"/>
        <v>3</v>
      </c>
      <c r="K537" s="48">
        <f t="shared" si="42"/>
        <v>2</v>
      </c>
      <c r="L537" s="39" t="s">
        <v>10</v>
      </c>
      <c r="M537" s="39" t="s">
        <v>79</v>
      </c>
      <c r="O537" s="39">
        <v>2</v>
      </c>
      <c r="P537" s="39">
        <v>3</v>
      </c>
      <c r="Q537" s="39">
        <v>2</v>
      </c>
      <c r="S537" s="51" t="str">
        <f t="shared" si="43"/>
        <v>Detractor</v>
      </c>
    </row>
    <row r="538" ht="14.25" customHeight="1" spans="1:19">
      <c r="A538" s="43" t="s">
        <v>580</v>
      </c>
      <c r="B538" s="43" t="s">
        <v>14</v>
      </c>
      <c r="C538" s="43" t="s">
        <v>22</v>
      </c>
      <c r="D538" s="44">
        <v>45950</v>
      </c>
      <c r="E538" s="44">
        <v>45955</v>
      </c>
      <c r="F538" s="44">
        <v>45960</v>
      </c>
      <c r="G538" s="44">
        <v>45966</v>
      </c>
      <c r="H538" s="45" t="str">
        <f t="shared" si="44"/>
        <v>Delivered</v>
      </c>
      <c r="I538" s="48">
        <f t="shared" si="40"/>
        <v>5</v>
      </c>
      <c r="J538" s="48">
        <f t="shared" si="41"/>
        <v>5</v>
      </c>
      <c r="K538" s="48">
        <f t="shared" si="42"/>
        <v>6</v>
      </c>
      <c r="L538" s="39" t="s">
        <v>9</v>
      </c>
      <c r="N538" s="44">
        <v>45976</v>
      </c>
      <c r="O538" s="39">
        <v>5</v>
      </c>
      <c r="P538" s="39">
        <v>5</v>
      </c>
      <c r="Q538" s="39">
        <v>6</v>
      </c>
      <c r="R538" s="39">
        <v>0</v>
      </c>
      <c r="S538" s="51" t="str">
        <f t="shared" si="43"/>
        <v>Detractor</v>
      </c>
    </row>
    <row r="539" ht="14.25" customHeight="1" spans="1:19">
      <c r="A539" s="43" t="s">
        <v>581</v>
      </c>
      <c r="B539" s="43" t="s">
        <v>11</v>
      </c>
      <c r="C539" s="43" t="s">
        <v>21</v>
      </c>
      <c r="D539" s="44">
        <v>45953</v>
      </c>
      <c r="E539" s="44">
        <v>45957</v>
      </c>
      <c r="F539" s="44">
        <v>45961</v>
      </c>
      <c r="G539" s="44">
        <v>45964</v>
      </c>
      <c r="H539" s="45" t="str">
        <f t="shared" si="44"/>
        <v>Delivered</v>
      </c>
      <c r="I539" s="48">
        <f t="shared" si="40"/>
        <v>4</v>
      </c>
      <c r="J539" s="48">
        <f t="shared" si="41"/>
        <v>4</v>
      </c>
      <c r="K539" s="48">
        <f t="shared" si="42"/>
        <v>3</v>
      </c>
      <c r="L539" s="39" t="s">
        <v>9</v>
      </c>
      <c r="N539" s="44">
        <v>45989</v>
      </c>
      <c r="O539" s="39">
        <v>4</v>
      </c>
      <c r="P539" s="39">
        <v>4</v>
      </c>
      <c r="Q539" s="39">
        <v>3</v>
      </c>
      <c r="R539" s="39">
        <v>3</v>
      </c>
      <c r="S539" s="51" t="str">
        <f t="shared" si="43"/>
        <v>Detractor</v>
      </c>
    </row>
    <row r="540" ht="14.25" customHeight="1" spans="1:19">
      <c r="A540" s="43" t="s">
        <v>582</v>
      </c>
      <c r="B540" s="43" t="s">
        <v>12</v>
      </c>
      <c r="C540" s="43" t="s">
        <v>20</v>
      </c>
      <c r="D540" s="44">
        <v>45943</v>
      </c>
      <c r="H540" s="45" t="str">
        <f t="shared" si="44"/>
        <v>Cancelled</v>
      </c>
      <c r="I540" s="48">
        <f t="shared" si="40"/>
        <v>0</v>
      </c>
      <c r="J540" s="48">
        <f t="shared" si="41"/>
        <v>0</v>
      </c>
      <c r="K540" s="48">
        <f t="shared" si="42"/>
        <v>0</v>
      </c>
      <c r="L540" s="39" t="s">
        <v>10</v>
      </c>
      <c r="M540" s="39" t="s">
        <v>44</v>
      </c>
      <c r="S540" s="51" t="str">
        <f t="shared" si="43"/>
        <v>Detractor</v>
      </c>
    </row>
    <row r="541" ht="14.25" customHeight="1" spans="1:19">
      <c r="A541" s="43" t="s">
        <v>583</v>
      </c>
      <c r="B541" s="43" t="s">
        <v>11</v>
      </c>
      <c r="C541" s="43" t="s">
        <v>22</v>
      </c>
      <c r="D541" s="44">
        <v>45951</v>
      </c>
      <c r="E541" s="44">
        <v>45953</v>
      </c>
      <c r="F541" s="44">
        <v>45957</v>
      </c>
      <c r="G541" s="44">
        <v>45960</v>
      </c>
      <c r="H541" s="45" t="str">
        <f t="shared" si="44"/>
        <v>Delivered</v>
      </c>
      <c r="I541" s="48">
        <f t="shared" si="40"/>
        <v>2</v>
      </c>
      <c r="J541" s="48">
        <f t="shared" si="41"/>
        <v>4</v>
      </c>
      <c r="K541" s="48">
        <f t="shared" si="42"/>
        <v>3</v>
      </c>
      <c r="L541" s="39" t="s">
        <v>10</v>
      </c>
      <c r="M541" s="39" t="s">
        <v>117</v>
      </c>
      <c r="O541" s="39">
        <v>2</v>
      </c>
      <c r="P541" s="39">
        <v>4</v>
      </c>
      <c r="Q541" s="39">
        <v>3</v>
      </c>
      <c r="S541" s="51" t="str">
        <f t="shared" si="43"/>
        <v>Detractor</v>
      </c>
    </row>
    <row r="542" ht="14.25" customHeight="1" spans="1:19">
      <c r="A542" s="43" t="s">
        <v>584</v>
      </c>
      <c r="B542" s="43" t="s">
        <v>11</v>
      </c>
      <c r="C542" s="43" t="s">
        <v>21</v>
      </c>
      <c r="D542" s="44">
        <v>45933</v>
      </c>
      <c r="E542" s="44">
        <v>45934</v>
      </c>
      <c r="F542" s="44">
        <v>45935</v>
      </c>
      <c r="G542" s="44">
        <v>45941</v>
      </c>
      <c r="H542" s="45" t="str">
        <f t="shared" si="44"/>
        <v>Delivered</v>
      </c>
      <c r="I542" s="48">
        <f t="shared" si="40"/>
        <v>1</v>
      </c>
      <c r="J542" s="48">
        <f t="shared" si="41"/>
        <v>1</v>
      </c>
      <c r="K542" s="48">
        <f t="shared" si="42"/>
        <v>6</v>
      </c>
      <c r="L542" s="39" t="s">
        <v>9</v>
      </c>
      <c r="N542" s="44">
        <v>45955</v>
      </c>
      <c r="O542" s="39">
        <v>1</v>
      </c>
      <c r="P542" s="39">
        <v>1</v>
      </c>
      <c r="Q542" s="39">
        <v>6</v>
      </c>
      <c r="R542" s="39">
        <v>9</v>
      </c>
      <c r="S542" s="51" t="str">
        <f t="shared" si="43"/>
        <v>Promoter</v>
      </c>
    </row>
    <row r="543" ht="14.25" customHeight="1" spans="1:19">
      <c r="A543" s="43" t="s">
        <v>585</v>
      </c>
      <c r="B543" s="43" t="s">
        <v>14</v>
      </c>
      <c r="C543" s="43" t="s">
        <v>20</v>
      </c>
      <c r="D543" s="44">
        <v>45958</v>
      </c>
      <c r="H543" s="45" t="str">
        <f t="shared" si="44"/>
        <v>Cancelled</v>
      </c>
      <c r="I543" s="48">
        <f t="shared" si="40"/>
        <v>0</v>
      </c>
      <c r="J543" s="48">
        <f t="shared" si="41"/>
        <v>0</v>
      </c>
      <c r="K543" s="48">
        <f t="shared" si="42"/>
        <v>0</v>
      </c>
      <c r="L543" s="39" t="s">
        <v>10</v>
      </c>
      <c r="M543" s="39" t="s">
        <v>117</v>
      </c>
      <c r="S543" s="51" t="str">
        <f t="shared" si="43"/>
        <v>Detractor</v>
      </c>
    </row>
    <row r="544" ht="14.25" customHeight="1" spans="1:19">
      <c r="A544" s="43" t="s">
        <v>586</v>
      </c>
      <c r="B544" s="43" t="s">
        <v>12</v>
      </c>
      <c r="C544" s="43" t="s">
        <v>22</v>
      </c>
      <c r="D544" s="44">
        <v>45941</v>
      </c>
      <c r="E544" s="44">
        <v>45946</v>
      </c>
      <c r="F544" s="44">
        <v>45950</v>
      </c>
      <c r="G544" s="44">
        <v>45954</v>
      </c>
      <c r="H544" s="45" t="str">
        <f t="shared" si="44"/>
        <v>Delivered</v>
      </c>
      <c r="I544" s="48">
        <f t="shared" si="40"/>
        <v>5</v>
      </c>
      <c r="J544" s="48">
        <f t="shared" si="41"/>
        <v>4</v>
      </c>
      <c r="K544" s="48">
        <f t="shared" si="42"/>
        <v>4</v>
      </c>
      <c r="L544" s="39" t="s">
        <v>9</v>
      </c>
      <c r="N544" s="44">
        <v>45984</v>
      </c>
      <c r="O544" s="39">
        <v>5</v>
      </c>
      <c r="P544" s="39">
        <v>4</v>
      </c>
      <c r="Q544" s="39">
        <v>4</v>
      </c>
      <c r="R544" s="39">
        <v>9</v>
      </c>
      <c r="S544" s="51" t="str">
        <f t="shared" si="43"/>
        <v>Promoter</v>
      </c>
    </row>
    <row r="545" ht="14.25" customHeight="1" spans="1:19">
      <c r="A545" s="43" t="s">
        <v>587</v>
      </c>
      <c r="B545" s="43" t="s">
        <v>12</v>
      </c>
      <c r="C545" s="43" t="s">
        <v>22</v>
      </c>
      <c r="D545" s="44">
        <v>45958</v>
      </c>
      <c r="E545" s="44">
        <v>45961</v>
      </c>
      <c r="F545" s="44">
        <v>45964</v>
      </c>
      <c r="G545" s="44">
        <v>45969</v>
      </c>
      <c r="H545" s="45" t="str">
        <f t="shared" si="44"/>
        <v>Delivered</v>
      </c>
      <c r="I545" s="48">
        <f t="shared" si="40"/>
        <v>3</v>
      </c>
      <c r="J545" s="48">
        <f t="shared" si="41"/>
        <v>3</v>
      </c>
      <c r="K545" s="48">
        <f t="shared" si="42"/>
        <v>5</v>
      </c>
      <c r="L545" s="39" t="s">
        <v>9</v>
      </c>
      <c r="N545" s="44">
        <v>45984</v>
      </c>
      <c r="O545" s="39">
        <v>3</v>
      </c>
      <c r="P545" s="39">
        <v>3</v>
      </c>
      <c r="Q545" s="39">
        <v>5</v>
      </c>
      <c r="R545" s="39">
        <v>4</v>
      </c>
      <c r="S545" s="51" t="str">
        <f t="shared" si="43"/>
        <v>Detractor</v>
      </c>
    </row>
    <row r="546" ht="14.25" customHeight="1" spans="1:19">
      <c r="A546" s="43" t="s">
        <v>588</v>
      </c>
      <c r="B546" s="43" t="s">
        <v>11</v>
      </c>
      <c r="C546" s="43" t="s">
        <v>21</v>
      </c>
      <c r="D546" s="44">
        <v>45952</v>
      </c>
      <c r="E546" s="44">
        <v>45953</v>
      </c>
      <c r="F546" s="44">
        <v>45955</v>
      </c>
      <c r="G546" s="44">
        <v>45961</v>
      </c>
      <c r="H546" s="45" t="str">
        <f t="shared" si="44"/>
        <v>Delivered</v>
      </c>
      <c r="I546" s="48">
        <f t="shared" si="40"/>
        <v>1</v>
      </c>
      <c r="J546" s="48">
        <f t="shared" si="41"/>
        <v>2</v>
      </c>
      <c r="K546" s="48">
        <f t="shared" si="42"/>
        <v>6</v>
      </c>
      <c r="L546" s="39" t="s">
        <v>9</v>
      </c>
      <c r="N546" s="44">
        <v>45990</v>
      </c>
      <c r="O546" s="39">
        <v>1</v>
      </c>
      <c r="P546" s="39">
        <v>2</v>
      </c>
      <c r="Q546" s="39">
        <v>6</v>
      </c>
      <c r="R546" s="39">
        <v>1</v>
      </c>
      <c r="S546" s="51" t="str">
        <f t="shared" si="43"/>
        <v>Detractor</v>
      </c>
    </row>
    <row r="547" ht="14.25" customHeight="1" spans="1:19">
      <c r="A547" s="43" t="s">
        <v>589</v>
      </c>
      <c r="B547" s="43" t="s">
        <v>13</v>
      </c>
      <c r="C547" s="43" t="s">
        <v>21</v>
      </c>
      <c r="D547" s="44">
        <v>45958</v>
      </c>
      <c r="E547" s="44">
        <v>45963</v>
      </c>
      <c r="F547" s="44">
        <v>45966</v>
      </c>
      <c r="G547" s="44">
        <v>45973</v>
      </c>
      <c r="H547" s="45" t="str">
        <f t="shared" si="44"/>
        <v>Delivered</v>
      </c>
      <c r="I547" s="48">
        <f t="shared" si="40"/>
        <v>5</v>
      </c>
      <c r="J547" s="48">
        <f t="shared" si="41"/>
        <v>3</v>
      </c>
      <c r="K547" s="48">
        <f t="shared" si="42"/>
        <v>7</v>
      </c>
      <c r="L547" s="39" t="s">
        <v>9</v>
      </c>
      <c r="N547" s="44">
        <v>45983</v>
      </c>
      <c r="O547" s="39">
        <v>5</v>
      </c>
      <c r="P547" s="39">
        <v>3</v>
      </c>
      <c r="Q547" s="39">
        <v>7</v>
      </c>
      <c r="R547" s="39">
        <v>6</v>
      </c>
      <c r="S547" s="51" t="str">
        <f t="shared" si="43"/>
        <v>Detractor</v>
      </c>
    </row>
    <row r="548" ht="14.25" customHeight="1" spans="1:19">
      <c r="A548" s="43" t="s">
        <v>590</v>
      </c>
      <c r="B548" s="43" t="s">
        <v>14</v>
      </c>
      <c r="C548" s="43" t="s">
        <v>22</v>
      </c>
      <c r="D548" s="44">
        <v>45948</v>
      </c>
      <c r="E548" s="44">
        <v>45953</v>
      </c>
      <c r="F548" s="44">
        <v>45956</v>
      </c>
      <c r="G548" s="44">
        <v>45963</v>
      </c>
      <c r="H548" s="45" t="str">
        <f t="shared" si="44"/>
        <v>Delivered</v>
      </c>
      <c r="I548" s="48">
        <f t="shared" si="40"/>
        <v>5</v>
      </c>
      <c r="J548" s="48">
        <f t="shared" si="41"/>
        <v>3</v>
      </c>
      <c r="K548" s="48">
        <f t="shared" si="42"/>
        <v>7</v>
      </c>
      <c r="L548" s="39" t="s">
        <v>9</v>
      </c>
      <c r="N548" s="44">
        <v>45980</v>
      </c>
      <c r="O548" s="39">
        <v>5</v>
      </c>
      <c r="P548" s="39">
        <v>3</v>
      </c>
      <c r="Q548" s="39">
        <v>7</v>
      </c>
      <c r="R548" s="39">
        <v>3</v>
      </c>
      <c r="S548" s="51" t="str">
        <f t="shared" si="43"/>
        <v>Detractor</v>
      </c>
    </row>
    <row r="549" ht="14.25" customHeight="1" spans="1:19">
      <c r="A549" s="43" t="s">
        <v>591</v>
      </c>
      <c r="B549" s="43" t="s">
        <v>14</v>
      </c>
      <c r="C549" s="43" t="s">
        <v>22</v>
      </c>
      <c r="D549" s="44">
        <v>45943</v>
      </c>
      <c r="E549" s="44">
        <v>45948</v>
      </c>
      <c r="F549" s="44">
        <v>45952</v>
      </c>
      <c r="G549" s="44">
        <v>45959</v>
      </c>
      <c r="H549" s="45" t="str">
        <f t="shared" si="44"/>
        <v>Delivered</v>
      </c>
      <c r="I549" s="48">
        <f t="shared" si="40"/>
        <v>5</v>
      </c>
      <c r="J549" s="48">
        <f t="shared" si="41"/>
        <v>4</v>
      </c>
      <c r="K549" s="48">
        <f t="shared" si="42"/>
        <v>7</v>
      </c>
      <c r="L549" s="39" t="s">
        <v>9</v>
      </c>
      <c r="N549" s="44">
        <v>45977</v>
      </c>
      <c r="O549" s="39">
        <v>5</v>
      </c>
      <c r="P549" s="39">
        <v>4</v>
      </c>
      <c r="Q549" s="39">
        <v>7</v>
      </c>
      <c r="R549" s="39">
        <v>4</v>
      </c>
      <c r="S549" s="51" t="str">
        <f t="shared" si="43"/>
        <v>Detractor</v>
      </c>
    </row>
    <row r="550" ht="14.25" customHeight="1" spans="1:19">
      <c r="A550" s="43" t="s">
        <v>592</v>
      </c>
      <c r="B550" s="43" t="s">
        <v>14</v>
      </c>
      <c r="C550" s="43" t="s">
        <v>22</v>
      </c>
      <c r="D550" s="44">
        <v>45961</v>
      </c>
      <c r="E550" s="44">
        <v>45966</v>
      </c>
      <c r="F550" s="44">
        <v>45967</v>
      </c>
      <c r="G550" s="44">
        <v>45974</v>
      </c>
      <c r="H550" s="45" t="str">
        <f t="shared" si="44"/>
        <v>Delivered</v>
      </c>
      <c r="I550" s="48">
        <f t="shared" si="40"/>
        <v>5</v>
      </c>
      <c r="J550" s="48">
        <f t="shared" si="41"/>
        <v>1</v>
      </c>
      <c r="K550" s="48">
        <f t="shared" si="42"/>
        <v>7</v>
      </c>
      <c r="L550" s="39" t="s">
        <v>9</v>
      </c>
      <c r="N550" s="44">
        <v>46003</v>
      </c>
      <c r="O550" s="39">
        <v>5</v>
      </c>
      <c r="P550" s="39">
        <v>1</v>
      </c>
      <c r="Q550" s="39">
        <v>7</v>
      </c>
      <c r="R550" s="39">
        <v>6</v>
      </c>
      <c r="S550" s="51" t="str">
        <f t="shared" si="43"/>
        <v>Detractor</v>
      </c>
    </row>
    <row r="551" ht="14.25" customHeight="1" spans="1:19">
      <c r="A551" s="43" t="s">
        <v>593</v>
      </c>
      <c r="B551" s="43" t="s">
        <v>14</v>
      </c>
      <c r="C551" s="43" t="s">
        <v>22</v>
      </c>
      <c r="D551" s="44">
        <v>45941</v>
      </c>
      <c r="E551" s="44">
        <v>45946</v>
      </c>
      <c r="F551" s="44">
        <v>45951</v>
      </c>
      <c r="G551" s="44">
        <v>45953</v>
      </c>
      <c r="H551" s="45" t="str">
        <f t="shared" si="44"/>
        <v>Delivered</v>
      </c>
      <c r="I551" s="48">
        <f t="shared" si="40"/>
        <v>5</v>
      </c>
      <c r="J551" s="48">
        <f t="shared" si="41"/>
        <v>5</v>
      </c>
      <c r="K551" s="48">
        <f t="shared" si="42"/>
        <v>2</v>
      </c>
      <c r="L551" s="39" t="s">
        <v>9</v>
      </c>
      <c r="N551" s="44">
        <v>45972</v>
      </c>
      <c r="O551" s="39">
        <v>5</v>
      </c>
      <c r="P551" s="39">
        <v>5</v>
      </c>
      <c r="Q551" s="39">
        <v>2</v>
      </c>
      <c r="R551" s="39">
        <v>5</v>
      </c>
      <c r="S551" s="51" t="str">
        <f t="shared" si="43"/>
        <v>Detractor</v>
      </c>
    </row>
    <row r="552" ht="14.25" customHeight="1" spans="1:19">
      <c r="A552" s="43" t="s">
        <v>594</v>
      </c>
      <c r="B552" s="43" t="s">
        <v>12</v>
      </c>
      <c r="C552" s="43" t="s">
        <v>22</v>
      </c>
      <c r="D552" s="44">
        <v>45951</v>
      </c>
      <c r="E552" s="44">
        <v>45952</v>
      </c>
      <c r="F552" s="44">
        <v>45954</v>
      </c>
      <c r="G552" s="44">
        <v>45958</v>
      </c>
      <c r="H552" s="45" t="str">
        <f t="shared" si="44"/>
        <v>Delivered</v>
      </c>
      <c r="I552" s="48">
        <f t="shared" si="40"/>
        <v>1</v>
      </c>
      <c r="J552" s="48">
        <f t="shared" si="41"/>
        <v>2</v>
      </c>
      <c r="K552" s="48">
        <f t="shared" si="42"/>
        <v>4</v>
      </c>
      <c r="L552" s="39" t="s">
        <v>9</v>
      </c>
      <c r="N552" s="44">
        <v>45988</v>
      </c>
      <c r="O552" s="39">
        <v>1</v>
      </c>
      <c r="P552" s="39">
        <v>2</v>
      </c>
      <c r="Q552" s="39">
        <v>4</v>
      </c>
      <c r="R552" s="39">
        <v>3</v>
      </c>
      <c r="S552" s="51" t="str">
        <f t="shared" si="43"/>
        <v>Detractor</v>
      </c>
    </row>
    <row r="553" ht="14.25" customHeight="1" spans="1:19">
      <c r="A553" s="43" t="s">
        <v>595</v>
      </c>
      <c r="B553" s="43" t="s">
        <v>12</v>
      </c>
      <c r="C553" s="43" t="s">
        <v>21</v>
      </c>
      <c r="D553" s="44">
        <v>45953</v>
      </c>
      <c r="E553" s="44">
        <v>45957</v>
      </c>
      <c r="F553" s="44">
        <v>45959</v>
      </c>
      <c r="G553" s="44">
        <v>45966</v>
      </c>
      <c r="H553" s="45" t="str">
        <f t="shared" si="44"/>
        <v>Delivered</v>
      </c>
      <c r="I553" s="48">
        <f t="shared" si="40"/>
        <v>4</v>
      </c>
      <c r="J553" s="48">
        <f t="shared" si="41"/>
        <v>2</v>
      </c>
      <c r="K553" s="48">
        <f t="shared" si="42"/>
        <v>7</v>
      </c>
      <c r="L553" s="39" t="s">
        <v>9</v>
      </c>
      <c r="N553" s="44">
        <v>45984</v>
      </c>
      <c r="O553" s="39">
        <v>4</v>
      </c>
      <c r="P553" s="39">
        <v>2</v>
      </c>
      <c r="Q553" s="39">
        <v>7</v>
      </c>
      <c r="R553" s="39">
        <v>3</v>
      </c>
      <c r="S553" s="51" t="str">
        <f t="shared" si="43"/>
        <v>Detractor</v>
      </c>
    </row>
    <row r="554" ht="14.25" customHeight="1" spans="1:19">
      <c r="A554" s="43" t="s">
        <v>596</v>
      </c>
      <c r="B554" s="43" t="s">
        <v>13</v>
      </c>
      <c r="C554" s="43" t="s">
        <v>22</v>
      </c>
      <c r="D554" s="44">
        <v>45959</v>
      </c>
      <c r="E554" s="44">
        <v>45963</v>
      </c>
      <c r="F554" s="44">
        <v>45964</v>
      </c>
      <c r="G554" s="44">
        <v>45969</v>
      </c>
      <c r="H554" s="45" t="str">
        <f t="shared" si="44"/>
        <v>Delivered</v>
      </c>
      <c r="I554" s="48">
        <f t="shared" si="40"/>
        <v>4</v>
      </c>
      <c r="J554" s="48">
        <f t="shared" si="41"/>
        <v>1</v>
      </c>
      <c r="K554" s="48">
        <f t="shared" si="42"/>
        <v>5</v>
      </c>
      <c r="L554" s="39" t="s">
        <v>9</v>
      </c>
      <c r="N554" s="44">
        <v>45992</v>
      </c>
      <c r="O554" s="39">
        <v>4</v>
      </c>
      <c r="P554" s="39">
        <v>1</v>
      </c>
      <c r="Q554" s="39">
        <v>5</v>
      </c>
      <c r="R554" s="39">
        <v>9</v>
      </c>
      <c r="S554" s="51" t="str">
        <f t="shared" si="43"/>
        <v>Promoter</v>
      </c>
    </row>
    <row r="555" ht="14.25" customHeight="1" spans="1:19">
      <c r="A555" s="43" t="s">
        <v>597</v>
      </c>
      <c r="B555" s="43" t="s">
        <v>14</v>
      </c>
      <c r="C555" s="43" t="s">
        <v>20</v>
      </c>
      <c r="D555" s="44">
        <v>45955</v>
      </c>
      <c r="H555" s="45" t="str">
        <f t="shared" si="44"/>
        <v>Cancelled</v>
      </c>
      <c r="I555" s="48">
        <f t="shared" si="40"/>
        <v>0</v>
      </c>
      <c r="J555" s="48">
        <f t="shared" si="41"/>
        <v>0</v>
      </c>
      <c r="K555" s="48">
        <f t="shared" si="42"/>
        <v>0</v>
      </c>
      <c r="L555" s="39" t="s">
        <v>10</v>
      </c>
      <c r="M555" s="39" t="s">
        <v>79</v>
      </c>
      <c r="S555" s="51" t="str">
        <f t="shared" si="43"/>
        <v>Detractor</v>
      </c>
    </row>
    <row r="556" ht="14.25" customHeight="1" spans="1:19">
      <c r="A556" s="43" t="s">
        <v>598</v>
      </c>
      <c r="B556" s="43" t="s">
        <v>14</v>
      </c>
      <c r="C556" s="43" t="s">
        <v>22</v>
      </c>
      <c r="D556" s="44">
        <v>45946</v>
      </c>
      <c r="E556" s="44">
        <v>45947</v>
      </c>
      <c r="F556" s="44">
        <v>45950</v>
      </c>
      <c r="G556" s="44">
        <v>45957</v>
      </c>
      <c r="H556" s="45" t="str">
        <f t="shared" si="44"/>
        <v>Delivered</v>
      </c>
      <c r="I556" s="48">
        <f t="shared" si="40"/>
        <v>1</v>
      </c>
      <c r="J556" s="48">
        <f t="shared" si="41"/>
        <v>3</v>
      </c>
      <c r="K556" s="48">
        <f t="shared" si="42"/>
        <v>7</v>
      </c>
      <c r="L556" s="39" t="s">
        <v>9</v>
      </c>
      <c r="N556" s="44">
        <v>45979</v>
      </c>
      <c r="O556" s="39">
        <v>1</v>
      </c>
      <c r="P556" s="39">
        <v>3</v>
      </c>
      <c r="Q556" s="39">
        <v>7</v>
      </c>
      <c r="R556" s="39">
        <v>2</v>
      </c>
      <c r="S556" s="51" t="str">
        <f t="shared" si="43"/>
        <v>Detractor</v>
      </c>
    </row>
    <row r="557" ht="14.25" customHeight="1" spans="1:19">
      <c r="A557" s="43" t="s">
        <v>599</v>
      </c>
      <c r="B557" s="43" t="s">
        <v>11</v>
      </c>
      <c r="C557" s="43" t="s">
        <v>22</v>
      </c>
      <c r="D557" s="44">
        <v>45958</v>
      </c>
      <c r="E557" s="44">
        <v>45962</v>
      </c>
      <c r="F557" s="44">
        <v>45967</v>
      </c>
      <c r="G557" s="44">
        <v>45970</v>
      </c>
      <c r="H557" s="45" t="str">
        <f t="shared" si="44"/>
        <v>Delivered</v>
      </c>
      <c r="I557" s="48">
        <f t="shared" si="40"/>
        <v>4</v>
      </c>
      <c r="J557" s="48">
        <f t="shared" si="41"/>
        <v>5</v>
      </c>
      <c r="K557" s="48">
        <f t="shared" si="42"/>
        <v>3</v>
      </c>
      <c r="L557" s="39" t="s">
        <v>9</v>
      </c>
      <c r="N557" s="44">
        <v>45991</v>
      </c>
      <c r="O557" s="39">
        <v>4</v>
      </c>
      <c r="P557" s="39">
        <v>5</v>
      </c>
      <c r="Q557" s="39">
        <v>3</v>
      </c>
      <c r="R557" s="39">
        <v>8</v>
      </c>
      <c r="S557" s="51" t="str">
        <f t="shared" si="43"/>
        <v>Passive</v>
      </c>
    </row>
    <row r="558" ht="14.25" customHeight="1" spans="1:19">
      <c r="A558" s="43" t="s">
        <v>600</v>
      </c>
      <c r="B558" s="43" t="s">
        <v>12</v>
      </c>
      <c r="C558" s="43" t="s">
        <v>21</v>
      </c>
      <c r="D558" s="44">
        <v>45948</v>
      </c>
      <c r="E558" s="44">
        <v>45951</v>
      </c>
      <c r="F558" s="44">
        <v>45956</v>
      </c>
      <c r="G558" s="44">
        <v>45958</v>
      </c>
      <c r="H558" s="45" t="str">
        <f t="shared" si="44"/>
        <v>Delivered</v>
      </c>
      <c r="I558" s="48">
        <f t="shared" si="40"/>
        <v>3</v>
      </c>
      <c r="J558" s="48">
        <f t="shared" si="41"/>
        <v>5</v>
      </c>
      <c r="K558" s="48">
        <f t="shared" si="42"/>
        <v>2</v>
      </c>
      <c r="L558" s="39" t="s">
        <v>9</v>
      </c>
      <c r="N558" s="44">
        <v>45982</v>
      </c>
      <c r="O558" s="39">
        <v>3</v>
      </c>
      <c r="P558" s="39">
        <v>5</v>
      </c>
      <c r="Q558" s="39">
        <v>2</v>
      </c>
      <c r="R558" s="39">
        <v>1</v>
      </c>
      <c r="S558" s="51" t="str">
        <f t="shared" si="43"/>
        <v>Detractor</v>
      </c>
    </row>
    <row r="559" ht="14.25" customHeight="1" spans="1:19">
      <c r="A559" s="43" t="s">
        <v>601</v>
      </c>
      <c r="B559" s="43" t="s">
        <v>14</v>
      </c>
      <c r="C559" s="43" t="s">
        <v>22</v>
      </c>
      <c r="D559" s="44">
        <v>45932</v>
      </c>
      <c r="E559" s="44">
        <v>45935</v>
      </c>
      <c r="F559" s="44">
        <v>45940</v>
      </c>
      <c r="G559" s="44">
        <v>45943</v>
      </c>
      <c r="H559" s="45" t="str">
        <f t="shared" si="44"/>
        <v>Delivered</v>
      </c>
      <c r="I559" s="48">
        <f t="shared" si="40"/>
        <v>3</v>
      </c>
      <c r="J559" s="48">
        <f t="shared" si="41"/>
        <v>5</v>
      </c>
      <c r="K559" s="48">
        <f t="shared" si="42"/>
        <v>3</v>
      </c>
      <c r="L559" s="39" t="s">
        <v>9</v>
      </c>
      <c r="N559" s="44">
        <v>45961</v>
      </c>
      <c r="O559" s="39">
        <v>3</v>
      </c>
      <c r="P559" s="39">
        <v>5</v>
      </c>
      <c r="Q559" s="39">
        <v>3</v>
      </c>
      <c r="R559" s="39">
        <v>2</v>
      </c>
      <c r="S559" s="51" t="str">
        <f t="shared" si="43"/>
        <v>Detractor</v>
      </c>
    </row>
    <row r="560" ht="14.25" customHeight="1" spans="1:19">
      <c r="A560" s="43" t="s">
        <v>602</v>
      </c>
      <c r="B560" s="43" t="s">
        <v>13</v>
      </c>
      <c r="C560" s="43" t="s">
        <v>22</v>
      </c>
      <c r="D560" s="44">
        <v>45950</v>
      </c>
      <c r="E560" s="44">
        <v>45951</v>
      </c>
      <c r="F560" s="44">
        <v>45955</v>
      </c>
      <c r="G560" s="44">
        <v>45957</v>
      </c>
      <c r="H560" s="45" t="str">
        <f t="shared" si="44"/>
        <v>Delivered</v>
      </c>
      <c r="I560" s="48">
        <f t="shared" si="40"/>
        <v>1</v>
      </c>
      <c r="J560" s="48">
        <f t="shared" si="41"/>
        <v>4</v>
      </c>
      <c r="K560" s="48">
        <f t="shared" si="42"/>
        <v>2</v>
      </c>
      <c r="L560" s="39" t="s">
        <v>9</v>
      </c>
      <c r="N560" s="44">
        <v>45973</v>
      </c>
      <c r="O560" s="39">
        <v>1</v>
      </c>
      <c r="P560" s="39">
        <v>4</v>
      </c>
      <c r="Q560" s="39">
        <v>2</v>
      </c>
      <c r="R560" s="39">
        <v>6</v>
      </c>
      <c r="S560" s="51" t="str">
        <f t="shared" si="43"/>
        <v>Detractor</v>
      </c>
    </row>
    <row r="561" ht="14.25" customHeight="1" spans="1:19">
      <c r="A561" s="43" t="s">
        <v>603</v>
      </c>
      <c r="B561" s="43" t="s">
        <v>13</v>
      </c>
      <c r="C561" s="43" t="s">
        <v>20</v>
      </c>
      <c r="D561" s="44">
        <v>45933</v>
      </c>
      <c r="H561" s="45" t="str">
        <f t="shared" si="44"/>
        <v>Cancelled</v>
      </c>
      <c r="I561" s="48">
        <f t="shared" si="40"/>
        <v>0</v>
      </c>
      <c r="J561" s="48">
        <f t="shared" si="41"/>
        <v>0</v>
      </c>
      <c r="K561" s="48">
        <f t="shared" si="42"/>
        <v>0</v>
      </c>
      <c r="L561" s="39" t="s">
        <v>10</v>
      </c>
      <c r="M561" s="39" t="s">
        <v>44</v>
      </c>
      <c r="S561" s="51" t="str">
        <f t="shared" si="43"/>
        <v>Detractor</v>
      </c>
    </row>
    <row r="562" ht="14.25" customHeight="1" spans="1:19">
      <c r="A562" s="43" t="s">
        <v>604</v>
      </c>
      <c r="B562" s="43" t="s">
        <v>12</v>
      </c>
      <c r="C562" s="43" t="s">
        <v>22</v>
      </c>
      <c r="D562" s="44">
        <v>45938</v>
      </c>
      <c r="E562" s="44">
        <v>45941</v>
      </c>
      <c r="F562" s="44">
        <v>45944</v>
      </c>
      <c r="G562" s="44">
        <v>45949</v>
      </c>
      <c r="H562" s="45" t="str">
        <f t="shared" si="44"/>
        <v>Delivered</v>
      </c>
      <c r="I562" s="48">
        <f t="shared" si="40"/>
        <v>3</v>
      </c>
      <c r="J562" s="48">
        <f t="shared" si="41"/>
        <v>3</v>
      </c>
      <c r="K562" s="48">
        <f t="shared" si="42"/>
        <v>5</v>
      </c>
      <c r="L562" s="39" t="s">
        <v>9</v>
      </c>
      <c r="N562" s="44">
        <v>45973</v>
      </c>
      <c r="O562" s="39">
        <v>3</v>
      </c>
      <c r="P562" s="39">
        <v>3</v>
      </c>
      <c r="Q562" s="39">
        <v>5</v>
      </c>
      <c r="R562" s="39">
        <v>6</v>
      </c>
      <c r="S562" s="51" t="str">
        <f t="shared" si="43"/>
        <v>Detractor</v>
      </c>
    </row>
    <row r="563" ht="14.25" customHeight="1" spans="1:19">
      <c r="A563" s="43" t="s">
        <v>605</v>
      </c>
      <c r="B563" s="43" t="s">
        <v>13</v>
      </c>
      <c r="C563" s="43" t="s">
        <v>20</v>
      </c>
      <c r="D563" s="44">
        <v>45951</v>
      </c>
      <c r="H563" s="45" t="str">
        <f t="shared" si="44"/>
        <v>Cancelled</v>
      </c>
      <c r="I563" s="48">
        <f t="shared" si="40"/>
        <v>0</v>
      </c>
      <c r="J563" s="48">
        <f t="shared" si="41"/>
        <v>0</v>
      </c>
      <c r="K563" s="48">
        <f t="shared" si="42"/>
        <v>0</v>
      </c>
      <c r="L563" s="39" t="s">
        <v>10</v>
      </c>
      <c r="M563" s="39" t="s">
        <v>117</v>
      </c>
      <c r="S563" s="51" t="str">
        <f t="shared" si="43"/>
        <v>Detractor</v>
      </c>
    </row>
    <row r="564" ht="14.25" customHeight="1" spans="1:19">
      <c r="A564" s="43" t="s">
        <v>606</v>
      </c>
      <c r="B564" s="43" t="s">
        <v>13</v>
      </c>
      <c r="C564" s="43" t="s">
        <v>22</v>
      </c>
      <c r="D564" s="44">
        <v>45952</v>
      </c>
      <c r="E564" s="44">
        <v>45953</v>
      </c>
      <c r="F564" s="44">
        <v>45955</v>
      </c>
      <c r="G564" s="44">
        <v>45957</v>
      </c>
      <c r="H564" s="45" t="str">
        <f t="shared" si="44"/>
        <v>Delivered</v>
      </c>
      <c r="I564" s="48">
        <f t="shared" si="40"/>
        <v>1</v>
      </c>
      <c r="J564" s="48">
        <f t="shared" si="41"/>
        <v>2</v>
      </c>
      <c r="K564" s="48">
        <f t="shared" si="42"/>
        <v>2</v>
      </c>
      <c r="L564" s="39" t="s">
        <v>9</v>
      </c>
      <c r="N564" s="44">
        <v>45976</v>
      </c>
      <c r="O564" s="39">
        <v>1</v>
      </c>
      <c r="P564" s="39">
        <v>2</v>
      </c>
      <c r="Q564" s="39">
        <v>2</v>
      </c>
      <c r="R564" s="39">
        <v>1</v>
      </c>
      <c r="S564" s="51" t="str">
        <f t="shared" si="43"/>
        <v>Detractor</v>
      </c>
    </row>
    <row r="565" ht="14.25" customHeight="1" spans="1:19">
      <c r="A565" s="43" t="s">
        <v>607</v>
      </c>
      <c r="B565" s="43" t="s">
        <v>12</v>
      </c>
      <c r="C565" s="43" t="s">
        <v>21</v>
      </c>
      <c r="D565" s="44">
        <v>45960</v>
      </c>
      <c r="E565" s="44">
        <v>45963</v>
      </c>
      <c r="F565" s="44">
        <v>45965</v>
      </c>
      <c r="G565" s="44">
        <v>45970</v>
      </c>
      <c r="H565" s="45" t="str">
        <f t="shared" si="44"/>
        <v>Delivered</v>
      </c>
      <c r="I565" s="48">
        <f t="shared" si="40"/>
        <v>3</v>
      </c>
      <c r="J565" s="48">
        <f t="shared" si="41"/>
        <v>2</v>
      </c>
      <c r="K565" s="48">
        <f t="shared" si="42"/>
        <v>5</v>
      </c>
      <c r="L565" s="39" t="s">
        <v>9</v>
      </c>
      <c r="N565" s="44">
        <v>45996</v>
      </c>
      <c r="O565" s="39">
        <v>3</v>
      </c>
      <c r="P565" s="39">
        <v>2</v>
      </c>
      <c r="Q565" s="39">
        <v>5</v>
      </c>
      <c r="R565" s="39">
        <v>3</v>
      </c>
      <c r="S565" s="51" t="str">
        <f t="shared" si="43"/>
        <v>Detractor</v>
      </c>
    </row>
    <row r="566" ht="14.25" customHeight="1" spans="1:19">
      <c r="A566" s="43" t="s">
        <v>608</v>
      </c>
      <c r="B566" s="43" t="s">
        <v>14</v>
      </c>
      <c r="C566" s="43" t="s">
        <v>22</v>
      </c>
      <c r="D566" s="44">
        <v>45940</v>
      </c>
      <c r="E566" s="44">
        <v>45942</v>
      </c>
      <c r="F566" s="44">
        <v>45945</v>
      </c>
      <c r="G566" s="44">
        <v>45951</v>
      </c>
      <c r="H566" s="45" t="str">
        <f t="shared" si="44"/>
        <v>Delivered</v>
      </c>
      <c r="I566" s="48">
        <f t="shared" si="40"/>
        <v>2</v>
      </c>
      <c r="J566" s="48">
        <f t="shared" si="41"/>
        <v>3</v>
      </c>
      <c r="K566" s="48">
        <f t="shared" si="42"/>
        <v>6</v>
      </c>
      <c r="L566" s="39" t="s">
        <v>9</v>
      </c>
      <c r="N566" s="44">
        <v>45980</v>
      </c>
      <c r="O566" s="39">
        <v>2</v>
      </c>
      <c r="P566" s="39">
        <v>3</v>
      </c>
      <c r="Q566" s="39">
        <v>6</v>
      </c>
      <c r="R566" s="39">
        <v>4</v>
      </c>
      <c r="S566" s="51" t="str">
        <f t="shared" si="43"/>
        <v>Detractor</v>
      </c>
    </row>
    <row r="567" ht="14.25" customHeight="1" spans="1:19">
      <c r="A567" s="43" t="s">
        <v>609</v>
      </c>
      <c r="B567" s="43" t="s">
        <v>14</v>
      </c>
      <c r="C567" s="43" t="s">
        <v>21</v>
      </c>
      <c r="D567" s="44">
        <v>45938</v>
      </c>
      <c r="E567" s="44">
        <v>45939</v>
      </c>
      <c r="F567" s="44">
        <v>45941</v>
      </c>
      <c r="G567" s="44">
        <v>45947</v>
      </c>
      <c r="H567" s="45" t="str">
        <f t="shared" si="44"/>
        <v>Delivered</v>
      </c>
      <c r="I567" s="48">
        <f t="shared" si="40"/>
        <v>1</v>
      </c>
      <c r="J567" s="48">
        <f t="shared" si="41"/>
        <v>2</v>
      </c>
      <c r="K567" s="48">
        <f t="shared" si="42"/>
        <v>6</v>
      </c>
      <c r="L567" s="39" t="s">
        <v>9</v>
      </c>
      <c r="N567" s="44">
        <v>45969</v>
      </c>
      <c r="O567" s="39">
        <v>1</v>
      </c>
      <c r="P567" s="39">
        <v>2</v>
      </c>
      <c r="Q567" s="39">
        <v>6</v>
      </c>
      <c r="R567" s="39">
        <v>5</v>
      </c>
      <c r="S567" s="51" t="str">
        <f t="shared" si="43"/>
        <v>Detractor</v>
      </c>
    </row>
    <row r="568" ht="14.25" customHeight="1" spans="1:19">
      <c r="A568" s="43" t="s">
        <v>610</v>
      </c>
      <c r="B568" s="43" t="s">
        <v>13</v>
      </c>
      <c r="C568" s="43" t="s">
        <v>21</v>
      </c>
      <c r="D568" s="44">
        <v>45954</v>
      </c>
      <c r="E568" s="44">
        <v>45959</v>
      </c>
      <c r="F568" s="44">
        <v>45963</v>
      </c>
      <c r="G568" s="44">
        <v>45965</v>
      </c>
      <c r="H568" s="45" t="str">
        <f t="shared" si="44"/>
        <v>Delivered</v>
      </c>
      <c r="I568" s="48">
        <f t="shared" si="40"/>
        <v>5</v>
      </c>
      <c r="J568" s="48">
        <f t="shared" si="41"/>
        <v>4</v>
      </c>
      <c r="K568" s="48">
        <f t="shared" si="42"/>
        <v>2</v>
      </c>
      <c r="L568" s="39" t="s">
        <v>9</v>
      </c>
      <c r="N568" s="44">
        <v>45993</v>
      </c>
      <c r="O568" s="39">
        <v>5</v>
      </c>
      <c r="P568" s="39">
        <v>4</v>
      </c>
      <c r="Q568" s="39">
        <v>2</v>
      </c>
      <c r="R568" s="39">
        <v>3</v>
      </c>
      <c r="S568" s="51" t="str">
        <f t="shared" si="43"/>
        <v>Detractor</v>
      </c>
    </row>
    <row r="569" ht="14.25" customHeight="1" spans="1:19">
      <c r="A569" s="43" t="s">
        <v>611</v>
      </c>
      <c r="B569" s="43" t="s">
        <v>13</v>
      </c>
      <c r="C569" s="43" t="s">
        <v>20</v>
      </c>
      <c r="D569" s="44">
        <v>45933</v>
      </c>
      <c r="H569" s="45" t="str">
        <f t="shared" si="44"/>
        <v>Cancelled</v>
      </c>
      <c r="I569" s="48">
        <f t="shared" si="40"/>
        <v>0</v>
      </c>
      <c r="J569" s="48">
        <f t="shared" si="41"/>
        <v>0</v>
      </c>
      <c r="K569" s="48">
        <f t="shared" si="42"/>
        <v>0</v>
      </c>
      <c r="L569" s="39" t="s">
        <v>10</v>
      </c>
      <c r="M569" s="39" t="s">
        <v>117</v>
      </c>
      <c r="S569" s="51" t="str">
        <f t="shared" si="43"/>
        <v>Detractor</v>
      </c>
    </row>
    <row r="570" ht="14.25" customHeight="1" spans="1:19">
      <c r="A570" s="43" t="s">
        <v>612</v>
      </c>
      <c r="B570" s="43" t="s">
        <v>14</v>
      </c>
      <c r="C570" s="43" t="s">
        <v>22</v>
      </c>
      <c r="D570" s="44">
        <v>45944</v>
      </c>
      <c r="E570" s="44">
        <v>45947</v>
      </c>
      <c r="F570" s="44">
        <v>45952</v>
      </c>
      <c r="G570" s="44">
        <v>45956</v>
      </c>
      <c r="H570" s="45" t="str">
        <f t="shared" si="44"/>
        <v>Delivered</v>
      </c>
      <c r="I570" s="48">
        <f t="shared" si="40"/>
        <v>3</v>
      </c>
      <c r="J570" s="48">
        <f t="shared" si="41"/>
        <v>5</v>
      </c>
      <c r="K570" s="48">
        <f t="shared" si="42"/>
        <v>4</v>
      </c>
      <c r="L570" s="39" t="s">
        <v>9</v>
      </c>
      <c r="N570" s="44">
        <v>45969</v>
      </c>
      <c r="O570" s="39">
        <v>3</v>
      </c>
      <c r="P570" s="39">
        <v>5</v>
      </c>
      <c r="Q570" s="39">
        <v>4</v>
      </c>
      <c r="R570" s="39">
        <v>9</v>
      </c>
      <c r="S570" s="51" t="str">
        <f t="shared" si="43"/>
        <v>Promoter</v>
      </c>
    </row>
    <row r="571" ht="14.25" customHeight="1" spans="1:19">
      <c r="A571" s="43" t="s">
        <v>613</v>
      </c>
      <c r="B571" s="43" t="s">
        <v>12</v>
      </c>
      <c r="C571" s="43" t="s">
        <v>22</v>
      </c>
      <c r="D571" s="44">
        <v>45934</v>
      </c>
      <c r="E571" s="44">
        <v>45936</v>
      </c>
      <c r="F571" s="44">
        <v>45938</v>
      </c>
      <c r="G571" s="44">
        <v>45945</v>
      </c>
      <c r="H571" s="45" t="str">
        <f t="shared" si="44"/>
        <v>Delivered</v>
      </c>
      <c r="I571" s="48">
        <f t="shared" si="40"/>
        <v>2</v>
      </c>
      <c r="J571" s="48">
        <f t="shared" si="41"/>
        <v>2</v>
      </c>
      <c r="K571" s="48">
        <f t="shared" si="42"/>
        <v>7</v>
      </c>
      <c r="L571" s="39" t="s">
        <v>9</v>
      </c>
      <c r="N571" s="44">
        <v>45955</v>
      </c>
      <c r="O571" s="39">
        <v>2</v>
      </c>
      <c r="P571" s="39">
        <v>2</v>
      </c>
      <c r="Q571" s="39">
        <v>7</v>
      </c>
      <c r="R571" s="39">
        <v>4</v>
      </c>
      <c r="S571" s="51" t="str">
        <f t="shared" si="43"/>
        <v>Detractor</v>
      </c>
    </row>
    <row r="572" ht="14.25" customHeight="1" spans="1:19">
      <c r="A572" s="43" t="s">
        <v>614</v>
      </c>
      <c r="B572" s="43" t="s">
        <v>13</v>
      </c>
      <c r="C572" s="43" t="s">
        <v>21</v>
      </c>
      <c r="D572" s="44">
        <v>45955</v>
      </c>
      <c r="E572" s="44">
        <v>45956</v>
      </c>
      <c r="F572" s="44">
        <v>45960</v>
      </c>
      <c r="G572" s="44">
        <v>45967</v>
      </c>
      <c r="H572" s="45" t="str">
        <f t="shared" si="44"/>
        <v>Delivered</v>
      </c>
      <c r="I572" s="48">
        <f t="shared" si="40"/>
        <v>1</v>
      </c>
      <c r="J572" s="48">
        <f t="shared" si="41"/>
        <v>4</v>
      </c>
      <c r="K572" s="48">
        <f t="shared" si="42"/>
        <v>7</v>
      </c>
      <c r="L572" s="39" t="s">
        <v>9</v>
      </c>
      <c r="N572" s="44">
        <v>45993</v>
      </c>
      <c r="O572" s="39">
        <v>1</v>
      </c>
      <c r="P572" s="39">
        <v>4</v>
      </c>
      <c r="Q572" s="39">
        <v>7</v>
      </c>
      <c r="R572" s="39">
        <v>9</v>
      </c>
      <c r="S572" s="51" t="str">
        <f t="shared" si="43"/>
        <v>Promoter</v>
      </c>
    </row>
    <row r="573" ht="14.25" customHeight="1" spans="1:19">
      <c r="A573" s="43" t="s">
        <v>615</v>
      </c>
      <c r="B573" s="43" t="s">
        <v>11</v>
      </c>
      <c r="C573" s="43" t="s">
        <v>22</v>
      </c>
      <c r="D573" s="44">
        <v>45951</v>
      </c>
      <c r="E573" s="44">
        <v>45954</v>
      </c>
      <c r="F573" s="44">
        <v>45959</v>
      </c>
      <c r="G573" s="44">
        <v>45966</v>
      </c>
      <c r="H573" s="45" t="str">
        <f t="shared" si="44"/>
        <v>Delivered</v>
      </c>
      <c r="I573" s="48">
        <f t="shared" si="40"/>
        <v>3</v>
      </c>
      <c r="J573" s="48">
        <f t="shared" si="41"/>
        <v>5</v>
      </c>
      <c r="K573" s="48">
        <f t="shared" si="42"/>
        <v>7</v>
      </c>
      <c r="L573" s="39" t="s">
        <v>9</v>
      </c>
      <c r="N573" s="44">
        <v>45987</v>
      </c>
      <c r="O573" s="39">
        <v>3</v>
      </c>
      <c r="P573" s="39">
        <v>5</v>
      </c>
      <c r="Q573" s="39">
        <v>7</v>
      </c>
      <c r="R573" s="39">
        <v>2</v>
      </c>
      <c r="S573" s="51" t="str">
        <f t="shared" si="43"/>
        <v>Detractor</v>
      </c>
    </row>
    <row r="574" ht="14.25" customHeight="1" spans="1:19">
      <c r="A574" s="43" t="s">
        <v>616</v>
      </c>
      <c r="B574" s="43" t="s">
        <v>12</v>
      </c>
      <c r="C574" s="43" t="s">
        <v>21</v>
      </c>
      <c r="D574" s="44">
        <v>45953</v>
      </c>
      <c r="E574" s="44">
        <v>45958</v>
      </c>
      <c r="F574" s="44">
        <v>45961</v>
      </c>
      <c r="G574" s="44">
        <v>45968</v>
      </c>
      <c r="H574" s="45" t="str">
        <f t="shared" si="44"/>
        <v>Delivered</v>
      </c>
      <c r="I574" s="48">
        <f t="shared" si="40"/>
        <v>5</v>
      </c>
      <c r="J574" s="48">
        <f t="shared" si="41"/>
        <v>3</v>
      </c>
      <c r="K574" s="48">
        <f t="shared" si="42"/>
        <v>7</v>
      </c>
      <c r="L574" s="39" t="s">
        <v>9</v>
      </c>
      <c r="N574" s="44">
        <v>45995</v>
      </c>
      <c r="O574" s="39">
        <v>5</v>
      </c>
      <c r="P574" s="39">
        <v>3</v>
      </c>
      <c r="Q574" s="39">
        <v>7</v>
      </c>
      <c r="R574" s="39">
        <v>1</v>
      </c>
      <c r="S574" s="51" t="str">
        <f t="shared" si="43"/>
        <v>Detractor</v>
      </c>
    </row>
    <row r="575" ht="14.25" customHeight="1" spans="1:19">
      <c r="A575" s="43" t="s">
        <v>617</v>
      </c>
      <c r="B575" s="43" t="s">
        <v>13</v>
      </c>
      <c r="C575" s="43" t="s">
        <v>21</v>
      </c>
      <c r="D575" s="44">
        <v>45958</v>
      </c>
      <c r="E575" s="44">
        <v>45961</v>
      </c>
      <c r="F575" s="44">
        <v>45964</v>
      </c>
      <c r="G575" s="44">
        <v>45967</v>
      </c>
      <c r="H575" s="45" t="str">
        <f t="shared" si="44"/>
        <v>Delivered</v>
      </c>
      <c r="I575" s="48">
        <f t="shared" si="40"/>
        <v>3</v>
      </c>
      <c r="J575" s="48">
        <f t="shared" si="41"/>
        <v>3</v>
      </c>
      <c r="K575" s="48">
        <f t="shared" si="42"/>
        <v>3</v>
      </c>
      <c r="L575" s="39" t="s">
        <v>9</v>
      </c>
      <c r="N575" s="44">
        <v>45997</v>
      </c>
      <c r="O575" s="39">
        <v>3</v>
      </c>
      <c r="P575" s="39">
        <v>3</v>
      </c>
      <c r="Q575" s="39">
        <v>3</v>
      </c>
      <c r="R575" s="39">
        <v>7</v>
      </c>
      <c r="S575" s="51" t="str">
        <f t="shared" si="43"/>
        <v>Passive</v>
      </c>
    </row>
    <row r="576" ht="14.25" customHeight="1" spans="1:19">
      <c r="A576" s="43" t="s">
        <v>618</v>
      </c>
      <c r="B576" s="43" t="s">
        <v>13</v>
      </c>
      <c r="C576" s="43" t="s">
        <v>22</v>
      </c>
      <c r="D576" s="44">
        <v>45934</v>
      </c>
      <c r="E576" s="44">
        <v>45936</v>
      </c>
      <c r="F576" s="44">
        <v>45940</v>
      </c>
      <c r="G576" s="44">
        <v>45942</v>
      </c>
      <c r="H576" s="45" t="str">
        <f t="shared" si="44"/>
        <v>Delivered</v>
      </c>
      <c r="I576" s="48">
        <f t="shared" si="40"/>
        <v>2</v>
      </c>
      <c r="J576" s="48">
        <f t="shared" si="41"/>
        <v>4</v>
      </c>
      <c r="K576" s="48">
        <f t="shared" si="42"/>
        <v>2</v>
      </c>
      <c r="L576" s="39" t="s">
        <v>9</v>
      </c>
      <c r="N576" s="44">
        <v>45971</v>
      </c>
      <c r="O576" s="39">
        <v>2</v>
      </c>
      <c r="P576" s="39">
        <v>4</v>
      </c>
      <c r="Q576" s="39">
        <v>2</v>
      </c>
      <c r="R576" s="39">
        <v>0</v>
      </c>
      <c r="S576" s="51" t="str">
        <f t="shared" si="43"/>
        <v>Detractor</v>
      </c>
    </row>
    <row r="577" ht="14.25" customHeight="1" spans="1:19">
      <c r="A577" s="43" t="s">
        <v>619</v>
      </c>
      <c r="B577" s="43" t="s">
        <v>11</v>
      </c>
      <c r="C577" s="43" t="s">
        <v>21</v>
      </c>
      <c r="D577" s="44">
        <v>45945</v>
      </c>
      <c r="E577" s="44">
        <v>45949</v>
      </c>
      <c r="F577" s="44">
        <v>45953</v>
      </c>
      <c r="G577" s="44">
        <v>45955</v>
      </c>
      <c r="H577" s="45" t="str">
        <f t="shared" si="44"/>
        <v>Delivered</v>
      </c>
      <c r="I577" s="48">
        <f t="shared" si="40"/>
        <v>4</v>
      </c>
      <c r="J577" s="48">
        <f t="shared" si="41"/>
        <v>4</v>
      </c>
      <c r="K577" s="48">
        <f t="shared" si="42"/>
        <v>2</v>
      </c>
      <c r="L577" s="39" t="s">
        <v>9</v>
      </c>
      <c r="N577" s="44">
        <v>45984</v>
      </c>
      <c r="O577" s="39">
        <v>4</v>
      </c>
      <c r="P577" s="39">
        <v>4</v>
      </c>
      <c r="Q577" s="39">
        <v>2</v>
      </c>
      <c r="R577" s="39">
        <v>10</v>
      </c>
      <c r="S577" s="51" t="str">
        <f t="shared" si="43"/>
        <v>Promoter</v>
      </c>
    </row>
    <row r="578" ht="14.25" customHeight="1" spans="1:19">
      <c r="A578" s="43" t="s">
        <v>620</v>
      </c>
      <c r="B578" s="43" t="s">
        <v>11</v>
      </c>
      <c r="C578" s="43" t="s">
        <v>22</v>
      </c>
      <c r="D578" s="44">
        <v>45936</v>
      </c>
      <c r="E578" s="44">
        <v>45940</v>
      </c>
      <c r="F578" s="44">
        <v>45944</v>
      </c>
      <c r="G578" s="44">
        <v>45951</v>
      </c>
      <c r="H578" s="45" t="str">
        <f t="shared" si="44"/>
        <v>Delivered</v>
      </c>
      <c r="I578" s="48">
        <f t="shared" si="40"/>
        <v>4</v>
      </c>
      <c r="J578" s="48">
        <f t="shared" si="41"/>
        <v>4</v>
      </c>
      <c r="K578" s="48">
        <f t="shared" si="42"/>
        <v>7</v>
      </c>
      <c r="L578" s="39" t="s">
        <v>9</v>
      </c>
      <c r="N578" s="44">
        <v>45970</v>
      </c>
      <c r="O578" s="39">
        <v>4</v>
      </c>
      <c r="P578" s="39">
        <v>4</v>
      </c>
      <c r="Q578" s="39">
        <v>7</v>
      </c>
      <c r="R578" s="39">
        <v>7</v>
      </c>
      <c r="S578" s="51" t="str">
        <f t="shared" si="43"/>
        <v>Passive</v>
      </c>
    </row>
    <row r="579" ht="14.25" customHeight="1" spans="1:19">
      <c r="A579" s="43" t="s">
        <v>621</v>
      </c>
      <c r="B579" s="43" t="s">
        <v>14</v>
      </c>
      <c r="C579" s="43" t="s">
        <v>21</v>
      </c>
      <c r="D579" s="44">
        <v>45953</v>
      </c>
      <c r="E579" s="44">
        <v>45955</v>
      </c>
      <c r="F579" s="44">
        <v>45957</v>
      </c>
      <c r="G579" s="44">
        <v>45960</v>
      </c>
      <c r="H579" s="45" t="str">
        <f t="shared" si="44"/>
        <v>Delivered</v>
      </c>
      <c r="I579" s="48">
        <f t="shared" ref="I579:I642" si="45">IF(E579&gt;D579,E579-D579,0)</f>
        <v>2</v>
      </c>
      <c r="J579" s="48">
        <f t="shared" ref="J579:J642" si="46">IF(F579&gt;E579,F579-E579,0)</f>
        <v>2</v>
      </c>
      <c r="K579" s="48">
        <f t="shared" ref="K579:K642" si="47">IF(G579&gt;F579,G579-F579,0)</f>
        <v>3</v>
      </c>
      <c r="L579" s="39" t="s">
        <v>9</v>
      </c>
      <c r="N579" s="44">
        <v>45979</v>
      </c>
      <c r="O579" s="39">
        <v>2</v>
      </c>
      <c r="P579" s="39">
        <v>2</v>
      </c>
      <c r="Q579" s="39">
        <v>3</v>
      </c>
      <c r="R579" s="39">
        <v>3</v>
      </c>
      <c r="S579" s="51" t="str">
        <f t="shared" ref="S579:S642" si="48">IF(R579&gt;=9,"Promoter",IF(R579&gt;=7,"Passive","Detractor"))</f>
        <v>Detractor</v>
      </c>
    </row>
    <row r="580" ht="14.25" customHeight="1" spans="1:19">
      <c r="A580" s="43" t="s">
        <v>622</v>
      </c>
      <c r="B580" s="43" t="s">
        <v>12</v>
      </c>
      <c r="C580" s="43" t="s">
        <v>21</v>
      </c>
      <c r="D580" s="44">
        <v>45940</v>
      </c>
      <c r="E580" s="44">
        <v>45942</v>
      </c>
      <c r="F580" s="44">
        <v>45945</v>
      </c>
      <c r="G580" s="44">
        <v>45952</v>
      </c>
      <c r="H580" s="45" t="str">
        <f t="shared" si="44"/>
        <v>Delivered</v>
      </c>
      <c r="I580" s="48">
        <f t="shared" si="45"/>
        <v>2</v>
      </c>
      <c r="J580" s="48">
        <f t="shared" si="46"/>
        <v>3</v>
      </c>
      <c r="K580" s="48">
        <f t="shared" si="47"/>
        <v>7</v>
      </c>
      <c r="L580" s="39" t="s">
        <v>9</v>
      </c>
      <c r="N580" s="44">
        <v>45965</v>
      </c>
      <c r="O580" s="39">
        <v>2</v>
      </c>
      <c r="P580" s="39">
        <v>3</v>
      </c>
      <c r="Q580" s="39">
        <v>7</v>
      </c>
      <c r="R580" s="39">
        <v>6</v>
      </c>
      <c r="S580" s="51" t="str">
        <f t="shared" si="48"/>
        <v>Detractor</v>
      </c>
    </row>
    <row r="581" ht="14.25" customHeight="1" spans="1:19">
      <c r="A581" s="43" t="s">
        <v>623</v>
      </c>
      <c r="B581" s="43" t="s">
        <v>12</v>
      </c>
      <c r="C581" s="43" t="s">
        <v>21</v>
      </c>
      <c r="D581" s="44">
        <v>45959</v>
      </c>
      <c r="E581" s="44">
        <v>45960</v>
      </c>
      <c r="F581" s="44">
        <v>45962</v>
      </c>
      <c r="G581" s="44">
        <v>45964</v>
      </c>
      <c r="H581" s="45" t="str">
        <f t="shared" ref="H581:H644" si="49">IF(G581&lt;&gt;"","Delivered",IF(F581&lt;&gt;"","Booked",IF(E581&lt;&gt;"","Pre-Booked",IF(D581&lt;&gt;"","Cancelled",""))))</f>
        <v>Delivered</v>
      </c>
      <c r="I581" s="48">
        <f t="shared" si="45"/>
        <v>1</v>
      </c>
      <c r="J581" s="48">
        <f t="shared" si="46"/>
        <v>2</v>
      </c>
      <c r="K581" s="48">
        <f t="shared" si="47"/>
        <v>2</v>
      </c>
      <c r="L581" s="39" t="s">
        <v>9</v>
      </c>
      <c r="N581" s="44">
        <v>45989</v>
      </c>
      <c r="O581" s="39">
        <v>1</v>
      </c>
      <c r="P581" s="39">
        <v>2</v>
      </c>
      <c r="Q581" s="39">
        <v>2</v>
      </c>
      <c r="R581" s="39">
        <v>9</v>
      </c>
      <c r="S581" s="51" t="str">
        <f t="shared" si="48"/>
        <v>Promoter</v>
      </c>
    </row>
    <row r="582" ht="14.25" customHeight="1" spans="1:19">
      <c r="A582" s="43" t="s">
        <v>624</v>
      </c>
      <c r="B582" s="43" t="s">
        <v>14</v>
      </c>
      <c r="C582" s="43" t="s">
        <v>22</v>
      </c>
      <c r="D582" s="44">
        <v>45931</v>
      </c>
      <c r="E582" s="44">
        <v>45935</v>
      </c>
      <c r="F582" s="44">
        <v>45937</v>
      </c>
      <c r="G582" s="44">
        <v>45940</v>
      </c>
      <c r="H582" s="45" t="str">
        <f t="shared" si="49"/>
        <v>Delivered</v>
      </c>
      <c r="I582" s="48">
        <f t="shared" si="45"/>
        <v>4</v>
      </c>
      <c r="J582" s="48">
        <f t="shared" si="46"/>
        <v>2</v>
      </c>
      <c r="K582" s="48">
        <f t="shared" si="47"/>
        <v>3</v>
      </c>
      <c r="L582" s="39" t="s">
        <v>9</v>
      </c>
      <c r="N582" s="44">
        <v>45952</v>
      </c>
      <c r="O582" s="39">
        <v>4</v>
      </c>
      <c r="P582" s="39">
        <v>2</v>
      </c>
      <c r="Q582" s="39">
        <v>3</v>
      </c>
      <c r="R582" s="39">
        <v>6</v>
      </c>
      <c r="S582" s="51" t="str">
        <f t="shared" si="48"/>
        <v>Detractor</v>
      </c>
    </row>
    <row r="583" ht="14.25" customHeight="1" spans="1:19">
      <c r="A583" s="43" t="s">
        <v>625</v>
      </c>
      <c r="B583" s="43" t="s">
        <v>12</v>
      </c>
      <c r="C583" s="43" t="s">
        <v>22</v>
      </c>
      <c r="D583" s="44">
        <v>45932</v>
      </c>
      <c r="E583" s="44">
        <v>45933</v>
      </c>
      <c r="F583" s="44">
        <v>45938</v>
      </c>
      <c r="G583" s="44">
        <v>45943</v>
      </c>
      <c r="H583" s="45" t="str">
        <f t="shared" si="49"/>
        <v>Delivered</v>
      </c>
      <c r="I583" s="48">
        <f t="shared" si="45"/>
        <v>1</v>
      </c>
      <c r="J583" s="48">
        <f t="shared" si="46"/>
        <v>5</v>
      </c>
      <c r="K583" s="48">
        <f t="shared" si="47"/>
        <v>5</v>
      </c>
      <c r="L583" s="39" t="s">
        <v>9</v>
      </c>
      <c r="N583" s="44">
        <v>45963</v>
      </c>
      <c r="O583" s="39">
        <v>1</v>
      </c>
      <c r="P583" s="39">
        <v>5</v>
      </c>
      <c r="Q583" s="39">
        <v>5</v>
      </c>
      <c r="R583" s="39">
        <v>3</v>
      </c>
      <c r="S583" s="51" t="str">
        <f t="shared" si="48"/>
        <v>Detractor</v>
      </c>
    </row>
    <row r="584" ht="14.25" customHeight="1" spans="1:19">
      <c r="A584" s="43" t="s">
        <v>626</v>
      </c>
      <c r="B584" s="43" t="s">
        <v>12</v>
      </c>
      <c r="C584" s="43" t="s">
        <v>22</v>
      </c>
      <c r="D584" s="44">
        <v>45941</v>
      </c>
      <c r="E584" s="44">
        <v>45944</v>
      </c>
      <c r="F584" s="44">
        <v>45948</v>
      </c>
      <c r="G584" s="44">
        <v>45952</v>
      </c>
      <c r="H584" s="45" t="str">
        <f t="shared" si="49"/>
        <v>Delivered</v>
      </c>
      <c r="I584" s="48">
        <f t="shared" si="45"/>
        <v>3</v>
      </c>
      <c r="J584" s="48">
        <f t="shared" si="46"/>
        <v>4</v>
      </c>
      <c r="K584" s="48">
        <f t="shared" si="47"/>
        <v>4</v>
      </c>
      <c r="L584" s="39" t="s">
        <v>9</v>
      </c>
      <c r="N584" s="44">
        <v>45970</v>
      </c>
      <c r="O584" s="39">
        <v>3</v>
      </c>
      <c r="P584" s="39">
        <v>4</v>
      </c>
      <c r="Q584" s="39">
        <v>4</v>
      </c>
      <c r="R584" s="39">
        <v>1</v>
      </c>
      <c r="S584" s="51" t="str">
        <f t="shared" si="48"/>
        <v>Detractor</v>
      </c>
    </row>
    <row r="585" ht="14.25" customHeight="1" spans="1:19">
      <c r="A585" s="43" t="s">
        <v>627</v>
      </c>
      <c r="B585" s="43" t="s">
        <v>12</v>
      </c>
      <c r="C585" s="43" t="s">
        <v>22</v>
      </c>
      <c r="D585" s="44">
        <v>45956</v>
      </c>
      <c r="E585" s="44">
        <v>45958</v>
      </c>
      <c r="F585" s="44">
        <v>45960</v>
      </c>
      <c r="G585" s="44">
        <v>45966</v>
      </c>
      <c r="H585" s="45" t="str">
        <f t="shared" si="49"/>
        <v>Delivered</v>
      </c>
      <c r="I585" s="48">
        <f t="shared" si="45"/>
        <v>2</v>
      </c>
      <c r="J585" s="48">
        <f t="shared" si="46"/>
        <v>2</v>
      </c>
      <c r="K585" s="48">
        <f t="shared" si="47"/>
        <v>6</v>
      </c>
      <c r="L585" s="39" t="s">
        <v>9</v>
      </c>
      <c r="N585" s="44">
        <v>45996</v>
      </c>
      <c r="O585" s="39">
        <v>2</v>
      </c>
      <c r="P585" s="39">
        <v>2</v>
      </c>
      <c r="Q585" s="39">
        <v>6</v>
      </c>
      <c r="R585" s="39">
        <v>5</v>
      </c>
      <c r="S585" s="51" t="str">
        <f t="shared" si="48"/>
        <v>Detractor</v>
      </c>
    </row>
    <row r="586" ht="14.25" customHeight="1" spans="1:19">
      <c r="A586" s="43" t="s">
        <v>628</v>
      </c>
      <c r="B586" s="43" t="s">
        <v>12</v>
      </c>
      <c r="C586" s="43" t="s">
        <v>22</v>
      </c>
      <c r="D586" s="44">
        <v>45932</v>
      </c>
      <c r="E586" s="44">
        <v>45933</v>
      </c>
      <c r="F586" s="44">
        <v>45938</v>
      </c>
      <c r="G586" s="44">
        <v>45944</v>
      </c>
      <c r="H586" s="45" t="str">
        <f t="shared" si="49"/>
        <v>Delivered</v>
      </c>
      <c r="I586" s="48">
        <f t="shared" si="45"/>
        <v>1</v>
      </c>
      <c r="J586" s="48">
        <f t="shared" si="46"/>
        <v>5</v>
      </c>
      <c r="K586" s="48">
        <f t="shared" si="47"/>
        <v>6</v>
      </c>
      <c r="L586" s="39" t="s">
        <v>10</v>
      </c>
      <c r="M586" s="39" t="s">
        <v>49</v>
      </c>
      <c r="O586" s="39">
        <v>1</v>
      </c>
      <c r="P586" s="39">
        <v>5</v>
      </c>
      <c r="Q586" s="39">
        <v>6</v>
      </c>
      <c r="S586" s="51" t="str">
        <f t="shared" si="48"/>
        <v>Detractor</v>
      </c>
    </row>
    <row r="587" ht="14.25" customHeight="1" spans="1:19">
      <c r="A587" s="43" t="s">
        <v>629</v>
      </c>
      <c r="B587" s="43" t="s">
        <v>12</v>
      </c>
      <c r="C587" s="43" t="s">
        <v>21</v>
      </c>
      <c r="D587" s="44">
        <v>45940</v>
      </c>
      <c r="E587" s="44">
        <v>45942</v>
      </c>
      <c r="F587" s="44">
        <v>45943</v>
      </c>
      <c r="G587" s="44">
        <v>45950</v>
      </c>
      <c r="H587" s="45" t="str">
        <f t="shared" si="49"/>
        <v>Delivered</v>
      </c>
      <c r="I587" s="48">
        <f t="shared" si="45"/>
        <v>2</v>
      </c>
      <c r="J587" s="48">
        <f t="shared" si="46"/>
        <v>1</v>
      </c>
      <c r="K587" s="48">
        <f t="shared" si="47"/>
        <v>7</v>
      </c>
      <c r="L587" s="39" t="s">
        <v>9</v>
      </c>
      <c r="N587" s="44">
        <v>45970</v>
      </c>
      <c r="O587" s="39">
        <v>2</v>
      </c>
      <c r="P587" s="39">
        <v>1</v>
      </c>
      <c r="Q587" s="39">
        <v>7</v>
      </c>
      <c r="R587" s="39">
        <v>5</v>
      </c>
      <c r="S587" s="51" t="str">
        <f t="shared" si="48"/>
        <v>Detractor</v>
      </c>
    </row>
    <row r="588" ht="14.25" customHeight="1" spans="1:19">
      <c r="A588" s="43" t="s">
        <v>630</v>
      </c>
      <c r="B588" s="43" t="s">
        <v>11</v>
      </c>
      <c r="C588" s="43" t="s">
        <v>22</v>
      </c>
      <c r="D588" s="44">
        <v>45942</v>
      </c>
      <c r="E588" s="44">
        <v>45943</v>
      </c>
      <c r="F588" s="44">
        <v>45948</v>
      </c>
      <c r="G588" s="44">
        <v>45952</v>
      </c>
      <c r="H588" s="45" t="str">
        <f t="shared" si="49"/>
        <v>Delivered</v>
      </c>
      <c r="I588" s="48">
        <f t="shared" si="45"/>
        <v>1</v>
      </c>
      <c r="J588" s="48">
        <f t="shared" si="46"/>
        <v>5</v>
      </c>
      <c r="K588" s="48">
        <f t="shared" si="47"/>
        <v>4</v>
      </c>
      <c r="L588" s="39" t="s">
        <v>9</v>
      </c>
      <c r="N588" s="44">
        <v>45970</v>
      </c>
      <c r="O588" s="39">
        <v>1</v>
      </c>
      <c r="P588" s="39">
        <v>5</v>
      </c>
      <c r="Q588" s="39">
        <v>4</v>
      </c>
      <c r="R588" s="39">
        <v>8</v>
      </c>
      <c r="S588" s="51" t="str">
        <f t="shared" si="48"/>
        <v>Passive</v>
      </c>
    </row>
    <row r="589" ht="14.25" customHeight="1" spans="1:19">
      <c r="A589" s="43" t="s">
        <v>631</v>
      </c>
      <c r="B589" s="43" t="s">
        <v>12</v>
      </c>
      <c r="C589" s="43" t="s">
        <v>20</v>
      </c>
      <c r="D589" s="44">
        <v>45942</v>
      </c>
      <c r="H589" s="45" t="str">
        <f t="shared" si="49"/>
        <v>Cancelled</v>
      </c>
      <c r="I589" s="48">
        <f t="shared" si="45"/>
        <v>0</v>
      </c>
      <c r="J589" s="48">
        <f t="shared" si="46"/>
        <v>0</v>
      </c>
      <c r="K589" s="48">
        <f t="shared" si="47"/>
        <v>0</v>
      </c>
      <c r="L589" s="39" t="s">
        <v>10</v>
      </c>
      <c r="M589" s="39" t="s">
        <v>49</v>
      </c>
      <c r="S589" s="51" t="str">
        <f t="shared" si="48"/>
        <v>Detractor</v>
      </c>
    </row>
    <row r="590" ht="14.25" customHeight="1" spans="1:19">
      <c r="A590" s="43" t="s">
        <v>632</v>
      </c>
      <c r="B590" s="43" t="s">
        <v>11</v>
      </c>
      <c r="C590" s="43" t="s">
        <v>22</v>
      </c>
      <c r="D590" s="44">
        <v>45944</v>
      </c>
      <c r="E590" s="44">
        <v>45947</v>
      </c>
      <c r="F590" s="44">
        <v>45948</v>
      </c>
      <c r="G590" s="44">
        <v>45951</v>
      </c>
      <c r="H590" s="45" t="str">
        <f t="shared" si="49"/>
        <v>Delivered</v>
      </c>
      <c r="I590" s="48">
        <f t="shared" si="45"/>
        <v>3</v>
      </c>
      <c r="J590" s="48">
        <f t="shared" si="46"/>
        <v>1</v>
      </c>
      <c r="K590" s="48">
        <f t="shared" si="47"/>
        <v>3</v>
      </c>
      <c r="L590" s="39" t="s">
        <v>10</v>
      </c>
      <c r="M590" s="39" t="s">
        <v>117</v>
      </c>
      <c r="O590" s="39">
        <v>3</v>
      </c>
      <c r="P590" s="39">
        <v>1</v>
      </c>
      <c r="Q590" s="39">
        <v>3</v>
      </c>
      <c r="S590" s="51" t="str">
        <f t="shared" si="48"/>
        <v>Detractor</v>
      </c>
    </row>
    <row r="591" ht="14.25" customHeight="1" spans="1:19">
      <c r="A591" s="43" t="s">
        <v>633</v>
      </c>
      <c r="B591" s="43" t="s">
        <v>12</v>
      </c>
      <c r="C591" s="43" t="s">
        <v>22</v>
      </c>
      <c r="D591" s="44">
        <v>45935</v>
      </c>
      <c r="E591" s="44">
        <v>45938</v>
      </c>
      <c r="F591" s="44">
        <v>45939</v>
      </c>
      <c r="G591" s="44">
        <v>45943</v>
      </c>
      <c r="H591" s="45" t="str">
        <f t="shared" si="49"/>
        <v>Delivered</v>
      </c>
      <c r="I591" s="48">
        <f t="shared" si="45"/>
        <v>3</v>
      </c>
      <c r="J591" s="48">
        <f t="shared" si="46"/>
        <v>1</v>
      </c>
      <c r="K591" s="48">
        <f t="shared" si="47"/>
        <v>4</v>
      </c>
      <c r="L591" s="39" t="s">
        <v>9</v>
      </c>
      <c r="N591" s="44">
        <v>45961</v>
      </c>
      <c r="O591" s="39">
        <v>3</v>
      </c>
      <c r="P591" s="39">
        <v>1</v>
      </c>
      <c r="Q591" s="39">
        <v>4</v>
      </c>
      <c r="R591" s="39">
        <v>9</v>
      </c>
      <c r="S591" s="51" t="str">
        <f t="shared" si="48"/>
        <v>Promoter</v>
      </c>
    </row>
    <row r="592" ht="14.25" customHeight="1" spans="1:19">
      <c r="A592" s="43" t="s">
        <v>634</v>
      </c>
      <c r="B592" s="43" t="s">
        <v>14</v>
      </c>
      <c r="C592" s="43" t="s">
        <v>20</v>
      </c>
      <c r="D592" s="44">
        <v>45938</v>
      </c>
      <c r="H592" s="45" t="str">
        <f t="shared" si="49"/>
        <v>Cancelled</v>
      </c>
      <c r="I592" s="48">
        <f t="shared" si="45"/>
        <v>0</v>
      </c>
      <c r="J592" s="48">
        <f t="shared" si="46"/>
        <v>0</v>
      </c>
      <c r="K592" s="48">
        <f t="shared" si="47"/>
        <v>0</v>
      </c>
      <c r="L592" s="39" t="s">
        <v>10</v>
      </c>
      <c r="M592" s="39" t="s">
        <v>79</v>
      </c>
      <c r="S592" s="51" t="str">
        <f t="shared" si="48"/>
        <v>Detractor</v>
      </c>
    </row>
    <row r="593" ht="14.25" customHeight="1" spans="1:19">
      <c r="A593" s="43" t="s">
        <v>635</v>
      </c>
      <c r="B593" s="43" t="s">
        <v>13</v>
      </c>
      <c r="C593" s="43" t="s">
        <v>22</v>
      </c>
      <c r="D593" s="44">
        <v>45947</v>
      </c>
      <c r="E593" s="44">
        <v>45952</v>
      </c>
      <c r="F593" s="44">
        <v>45953</v>
      </c>
      <c r="G593" s="44">
        <v>45956</v>
      </c>
      <c r="H593" s="45" t="str">
        <f t="shared" si="49"/>
        <v>Delivered</v>
      </c>
      <c r="I593" s="48">
        <f t="shared" si="45"/>
        <v>5</v>
      </c>
      <c r="J593" s="48">
        <f t="shared" si="46"/>
        <v>1</v>
      </c>
      <c r="K593" s="48">
        <f t="shared" si="47"/>
        <v>3</v>
      </c>
      <c r="L593" s="39" t="s">
        <v>9</v>
      </c>
      <c r="N593" s="44">
        <v>45986</v>
      </c>
      <c r="O593" s="39">
        <v>5</v>
      </c>
      <c r="P593" s="39">
        <v>1</v>
      </c>
      <c r="Q593" s="39">
        <v>3</v>
      </c>
      <c r="R593" s="39">
        <v>0</v>
      </c>
      <c r="S593" s="51" t="str">
        <f t="shared" si="48"/>
        <v>Detractor</v>
      </c>
    </row>
    <row r="594" ht="14.25" customHeight="1" spans="1:19">
      <c r="A594" s="43" t="s">
        <v>636</v>
      </c>
      <c r="B594" s="43" t="s">
        <v>11</v>
      </c>
      <c r="C594" s="43" t="s">
        <v>21</v>
      </c>
      <c r="D594" s="44">
        <v>45944</v>
      </c>
      <c r="E594" s="44">
        <v>45948</v>
      </c>
      <c r="F594" s="44">
        <v>45949</v>
      </c>
      <c r="G594" s="44">
        <v>45956</v>
      </c>
      <c r="H594" s="45" t="str">
        <f t="shared" si="49"/>
        <v>Delivered</v>
      </c>
      <c r="I594" s="48">
        <f t="shared" si="45"/>
        <v>4</v>
      </c>
      <c r="J594" s="48">
        <f t="shared" si="46"/>
        <v>1</v>
      </c>
      <c r="K594" s="48">
        <f t="shared" si="47"/>
        <v>7</v>
      </c>
      <c r="L594" s="39" t="s">
        <v>10</v>
      </c>
      <c r="M594" s="39" t="s">
        <v>42</v>
      </c>
      <c r="O594" s="39">
        <v>4</v>
      </c>
      <c r="P594" s="39">
        <v>1</v>
      </c>
      <c r="Q594" s="39">
        <v>7</v>
      </c>
      <c r="S594" s="51" t="str">
        <f t="shared" si="48"/>
        <v>Detractor</v>
      </c>
    </row>
    <row r="595" ht="14.25" customHeight="1" spans="1:19">
      <c r="A595" s="43" t="s">
        <v>637</v>
      </c>
      <c r="B595" s="43" t="s">
        <v>12</v>
      </c>
      <c r="C595" s="43" t="s">
        <v>22</v>
      </c>
      <c r="D595" s="44">
        <v>45949</v>
      </c>
      <c r="E595" s="44">
        <v>45954</v>
      </c>
      <c r="F595" s="44">
        <v>45958</v>
      </c>
      <c r="G595" s="44">
        <v>45962</v>
      </c>
      <c r="H595" s="45" t="str">
        <f t="shared" si="49"/>
        <v>Delivered</v>
      </c>
      <c r="I595" s="48">
        <f t="shared" si="45"/>
        <v>5</v>
      </c>
      <c r="J595" s="48">
        <f t="shared" si="46"/>
        <v>4</v>
      </c>
      <c r="K595" s="48">
        <f t="shared" si="47"/>
        <v>4</v>
      </c>
      <c r="L595" s="39" t="s">
        <v>9</v>
      </c>
      <c r="N595" s="44">
        <v>45992</v>
      </c>
      <c r="O595" s="39">
        <v>5</v>
      </c>
      <c r="P595" s="39">
        <v>4</v>
      </c>
      <c r="Q595" s="39">
        <v>4</v>
      </c>
      <c r="R595" s="39">
        <v>7</v>
      </c>
      <c r="S595" s="51" t="str">
        <f t="shared" si="48"/>
        <v>Passive</v>
      </c>
    </row>
    <row r="596" ht="14.25" customHeight="1" spans="1:19">
      <c r="A596" s="43" t="s">
        <v>638</v>
      </c>
      <c r="B596" s="43" t="s">
        <v>14</v>
      </c>
      <c r="C596" s="43" t="s">
        <v>22</v>
      </c>
      <c r="D596" s="44">
        <v>45952</v>
      </c>
      <c r="E596" s="44">
        <v>45956</v>
      </c>
      <c r="F596" s="44">
        <v>45958</v>
      </c>
      <c r="G596" s="44">
        <v>45965</v>
      </c>
      <c r="H596" s="45" t="str">
        <f t="shared" si="49"/>
        <v>Delivered</v>
      </c>
      <c r="I596" s="48">
        <f t="shared" si="45"/>
        <v>4</v>
      </c>
      <c r="J596" s="48">
        <f t="shared" si="46"/>
        <v>2</v>
      </c>
      <c r="K596" s="48">
        <f t="shared" si="47"/>
        <v>7</v>
      </c>
      <c r="L596" s="39" t="s">
        <v>9</v>
      </c>
      <c r="N596" s="44">
        <v>45984</v>
      </c>
      <c r="O596" s="39">
        <v>4</v>
      </c>
      <c r="P596" s="39">
        <v>2</v>
      </c>
      <c r="Q596" s="39">
        <v>7</v>
      </c>
      <c r="R596" s="39">
        <v>2</v>
      </c>
      <c r="S596" s="51" t="str">
        <f t="shared" si="48"/>
        <v>Detractor</v>
      </c>
    </row>
    <row r="597" ht="14.25" customHeight="1" spans="1:19">
      <c r="A597" s="43" t="s">
        <v>639</v>
      </c>
      <c r="B597" s="43" t="s">
        <v>13</v>
      </c>
      <c r="C597" s="43" t="s">
        <v>22</v>
      </c>
      <c r="D597" s="44">
        <v>45956</v>
      </c>
      <c r="E597" s="44">
        <v>45959</v>
      </c>
      <c r="F597" s="44">
        <v>45961</v>
      </c>
      <c r="G597" s="44">
        <v>45963</v>
      </c>
      <c r="H597" s="45" t="str">
        <f t="shared" si="49"/>
        <v>Delivered</v>
      </c>
      <c r="I597" s="48">
        <f t="shared" si="45"/>
        <v>3</v>
      </c>
      <c r="J597" s="48">
        <f t="shared" si="46"/>
        <v>2</v>
      </c>
      <c r="K597" s="48">
        <f t="shared" si="47"/>
        <v>2</v>
      </c>
      <c r="L597" s="39" t="s">
        <v>9</v>
      </c>
      <c r="N597" s="44">
        <v>45979</v>
      </c>
      <c r="O597" s="39">
        <v>3</v>
      </c>
      <c r="P597" s="39">
        <v>2</v>
      </c>
      <c r="Q597" s="39">
        <v>2</v>
      </c>
      <c r="R597" s="39">
        <v>8</v>
      </c>
      <c r="S597" s="51" t="str">
        <f t="shared" si="48"/>
        <v>Passive</v>
      </c>
    </row>
    <row r="598" ht="14.25" customHeight="1" spans="1:19">
      <c r="A598" s="43" t="s">
        <v>640</v>
      </c>
      <c r="B598" s="43" t="s">
        <v>11</v>
      </c>
      <c r="C598" s="43" t="s">
        <v>22</v>
      </c>
      <c r="D598" s="44">
        <v>45936</v>
      </c>
      <c r="E598" s="44">
        <v>45937</v>
      </c>
      <c r="F598" s="44">
        <v>45938</v>
      </c>
      <c r="G598" s="44">
        <v>45940</v>
      </c>
      <c r="H598" s="45" t="str">
        <f t="shared" si="49"/>
        <v>Delivered</v>
      </c>
      <c r="I598" s="48">
        <f t="shared" si="45"/>
        <v>1</v>
      </c>
      <c r="J598" s="48">
        <f t="shared" si="46"/>
        <v>1</v>
      </c>
      <c r="K598" s="48">
        <f t="shared" si="47"/>
        <v>2</v>
      </c>
      <c r="L598" s="39" t="s">
        <v>10</v>
      </c>
      <c r="M598" s="39" t="s">
        <v>42</v>
      </c>
      <c r="O598" s="39">
        <v>1</v>
      </c>
      <c r="P598" s="39">
        <v>1</v>
      </c>
      <c r="Q598" s="39">
        <v>2</v>
      </c>
      <c r="S598" s="51" t="str">
        <f t="shared" si="48"/>
        <v>Detractor</v>
      </c>
    </row>
    <row r="599" ht="14.25" customHeight="1" spans="1:19">
      <c r="A599" s="43" t="s">
        <v>641</v>
      </c>
      <c r="B599" s="43" t="s">
        <v>13</v>
      </c>
      <c r="C599" s="43" t="s">
        <v>22</v>
      </c>
      <c r="D599" s="44">
        <v>45936</v>
      </c>
      <c r="E599" s="44">
        <v>45938</v>
      </c>
      <c r="F599" s="44">
        <v>45940</v>
      </c>
      <c r="G599" s="44">
        <v>45944</v>
      </c>
      <c r="H599" s="45" t="str">
        <f t="shared" si="49"/>
        <v>Delivered</v>
      </c>
      <c r="I599" s="48">
        <f t="shared" si="45"/>
        <v>2</v>
      </c>
      <c r="J599" s="48">
        <f t="shared" si="46"/>
        <v>2</v>
      </c>
      <c r="K599" s="48">
        <f t="shared" si="47"/>
        <v>4</v>
      </c>
      <c r="L599" s="39" t="s">
        <v>9</v>
      </c>
      <c r="N599" s="44">
        <v>45958</v>
      </c>
      <c r="O599" s="39">
        <v>2</v>
      </c>
      <c r="P599" s="39">
        <v>2</v>
      </c>
      <c r="Q599" s="39">
        <v>4</v>
      </c>
      <c r="R599" s="39">
        <v>3</v>
      </c>
      <c r="S599" s="51" t="str">
        <f t="shared" si="48"/>
        <v>Detractor</v>
      </c>
    </row>
    <row r="600" ht="14.25" customHeight="1" spans="1:19">
      <c r="A600" s="43" t="s">
        <v>642</v>
      </c>
      <c r="B600" s="43" t="s">
        <v>14</v>
      </c>
      <c r="C600" s="43" t="s">
        <v>22</v>
      </c>
      <c r="D600" s="44">
        <v>45936</v>
      </c>
      <c r="E600" s="44">
        <v>45939</v>
      </c>
      <c r="F600" s="44">
        <v>45940</v>
      </c>
      <c r="G600" s="44">
        <v>45945</v>
      </c>
      <c r="H600" s="45" t="str">
        <f t="shared" si="49"/>
        <v>Delivered</v>
      </c>
      <c r="I600" s="48">
        <f t="shared" si="45"/>
        <v>3</v>
      </c>
      <c r="J600" s="48">
        <f t="shared" si="46"/>
        <v>1</v>
      </c>
      <c r="K600" s="48">
        <f t="shared" si="47"/>
        <v>5</v>
      </c>
      <c r="L600" s="39" t="s">
        <v>9</v>
      </c>
      <c r="N600" s="44">
        <v>45971</v>
      </c>
      <c r="O600" s="39">
        <v>3</v>
      </c>
      <c r="P600" s="39">
        <v>1</v>
      </c>
      <c r="Q600" s="39">
        <v>5</v>
      </c>
      <c r="R600" s="39">
        <v>1</v>
      </c>
      <c r="S600" s="51" t="str">
        <f t="shared" si="48"/>
        <v>Detractor</v>
      </c>
    </row>
    <row r="601" ht="14.25" customHeight="1" spans="1:19">
      <c r="A601" s="43" t="s">
        <v>643</v>
      </c>
      <c r="B601" s="43" t="s">
        <v>11</v>
      </c>
      <c r="C601" s="43" t="s">
        <v>22</v>
      </c>
      <c r="D601" s="44">
        <v>45933</v>
      </c>
      <c r="E601" s="44">
        <v>45936</v>
      </c>
      <c r="F601" s="44">
        <v>45938</v>
      </c>
      <c r="G601" s="44">
        <v>45942</v>
      </c>
      <c r="H601" s="45" t="str">
        <f t="shared" si="49"/>
        <v>Delivered</v>
      </c>
      <c r="I601" s="48">
        <f t="shared" si="45"/>
        <v>3</v>
      </c>
      <c r="J601" s="48">
        <f t="shared" si="46"/>
        <v>2</v>
      </c>
      <c r="K601" s="48">
        <f t="shared" si="47"/>
        <v>4</v>
      </c>
      <c r="L601" s="39" t="s">
        <v>9</v>
      </c>
      <c r="N601" s="44">
        <v>45959</v>
      </c>
      <c r="O601" s="39">
        <v>3</v>
      </c>
      <c r="P601" s="39">
        <v>2</v>
      </c>
      <c r="Q601" s="39">
        <v>4</v>
      </c>
      <c r="R601" s="39">
        <v>4</v>
      </c>
      <c r="S601" s="51" t="str">
        <f t="shared" si="48"/>
        <v>Detractor</v>
      </c>
    </row>
    <row r="602" ht="14.25" customHeight="1" spans="1:19">
      <c r="A602" s="43" t="s">
        <v>644</v>
      </c>
      <c r="B602" s="43" t="s">
        <v>13</v>
      </c>
      <c r="C602" s="43" t="s">
        <v>20</v>
      </c>
      <c r="D602" s="44">
        <v>45950</v>
      </c>
      <c r="H602" s="45" t="str">
        <f t="shared" si="49"/>
        <v>Cancelled</v>
      </c>
      <c r="I602" s="48">
        <f t="shared" si="45"/>
        <v>0</v>
      </c>
      <c r="J602" s="48">
        <f t="shared" si="46"/>
        <v>0</v>
      </c>
      <c r="K602" s="48">
        <f t="shared" si="47"/>
        <v>0</v>
      </c>
      <c r="L602" s="39" t="s">
        <v>10</v>
      </c>
      <c r="M602" s="39" t="s">
        <v>117</v>
      </c>
      <c r="S602" s="51" t="str">
        <f t="shared" si="48"/>
        <v>Detractor</v>
      </c>
    </row>
    <row r="603" ht="14.25" customHeight="1" spans="1:19">
      <c r="A603" s="43" t="s">
        <v>645</v>
      </c>
      <c r="B603" s="43" t="s">
        <v>12</v>
      </c>
      <c r="C603" s="43" t="s">
        <v>22</v>
      </c>
      <c r="D603" s="44">
        <v>45958</v>
      </c>
      <c r="E603" s="44">
        <v>45959</v>
      </c>
      <c r="F603" s="44">
        <v>45964</v>
      </c>
      <c r="G603" s="44">
        <v>45970</v>
      </c>
      <c r="H603" s="45" t="str">
        <f t="shared" si="49"/>
        <v>Delivered</v>
      </c>
      <c r="I603" s="48">
        <f t="shared" si="45"/>
        <v>1</v>
      </c>
      <c r="J603" s="48">
        <f t="shared" si="46"/>
        <v>5</v>
      </c>
      <c r="K603" s="48">
        <f t="shared" si="47"/>
        <v>6</v>
      </c>
      <c r="L603" s="39" t="s">
        <v>9</v>
      </c>
      <c r="N603" s="44">
        <v>45981</v>
      </c>
      <c r="O603" s="39">
        <v>1</v>
      </c>
      <c r="P603" s="39">
        <v>5</v>
      </c>
      <c r="Q603" s="39">
        <v>6</v>
      </c>
      <c r="R603" s="39">
        <v>3</v>
      </c>
      <c r="S603" s="51" t="str">
        <f t="shared" si="48"/>
        <v>Detractor</v>
      </c>
    </row>
    <row r="604" ht="14.25" customHeight="1" spans="1:19">
      <c r="A604" s="43" t="s">
        <v>646</v>
      </c>
      <c r="B604" s="43" t="s">
        <v>11</v>
      </c>
      <c r="C604" s="43" t="s">
        <v>21</v>
      </c>
      <c r="D604" s="44">
        <v>45943</v>
      </c>
      <c r="E604" s="44">
        <v>45946</v>
      </c>
      <c r="F604" s="44">
        <v>45950</v>
      </c>
      <c r="G604" s="44">
        <v>45952</v>
      </c>
      <c r="H604" s="45" t="str">
        <f t="shared" si="49"/>
        <v>Delivered</v>
      </c>
      <c r="I604" s="48">
        <f t="shared" si="45"/>
        <v>3</v>
      </c>
      <c r="J604" s="48">
        <f t="shared" si="46"/>
        <v>4</v>
      </c>
      <c r="K604" s="48">
        <f t="shared" si="47"/>
        <v>2</v>
      </c>
      <c r="L604" s="39" t="s">
        <v>9</v>
      </c>
      <c r="N604" s="44">
        <v>45981</v>
      </c>
      <c r="O604" s="39">
        <v>3</v>
      </c>
      <c r="P604" s="39">
        <v>4</v>
      </c>
      <c r="Q604" s="39">
        <v>2</v>
      </c>
      <c r="R604" s="39">
        <v>8</v>
      </c>
      <c r="S604" s="51" t="str">
        <f t="shared" si="48"/>
        <v>Passive</v>
      </c>
    </row>
    <row r="605" ht="14.25" customHeight="1" spans="1:19">
      <c r="A605" s="43" t="s">
        <v>647</v>
      </c>
      <c r="B605" s="43" t="s">
        <v>13</v>
      </c>
      <c r="C605" s="43" t="s">
        <v>22</v>
      </c>
      <c r="D605" s="44">
        <v>45950</v>
      </c>
      <c r="E605" s="44">
        <v>45953</v>
      </c>
      <c r="F605" s="44">
        <v>45956</v>
      </c>
      <c r="G605" s="44">
        <v>45960</v>
      </c>
      <c r="H605" s="45" t="str">
        <f t="shared" si="49"/>
        <v>Delivered</v>
      </c>
      <c r="I605" s="48">
        <f t="shared" si="45"/>
        <v>3</v>
      </c>
      <c r="J605" s="48">
        <f t="shared" si="46"/>
        <v>3</v>
      </c>
      <c r="K605" s="48">
        <f t="shared" si="47"/>
        <v>4</v>
      </c>
      <c r="L605" s="39" t="s">
        <v>9</v>
      </c>
      <c r="N605" s="44">
        <v>45982</v>
      </c>
      <c r="O605" s="39">
        <v>3</v>
      </c>
      <c r="P605" s="39">
        <v>3</v>
      </c>
      <c r="Q605" s="39">
        <v>4</v>
      </c>
      <c r="R605" s="39">
        <v>6</v>
      </c>
      <c r="S605" s="51" t="str">
        <f t="shared" si="48"/>
        <v>Detractor</v>
      </c>
    </row>
    <row r="606" ht="14.25" customHeight="1" spans="1:19">
      <c r="A606" s="43" t="s">
        <v>648</v>
      </c>
      <c r="B606" s="43" t="s">
        <v>14</v>
      </c>
      <c r="C606" s="43" t="s">
        <v>21</v>
      </c>
      <c r="D606" s="44">
        <v>45952</v>
      </c>
      <c r="E606" s="44">
        <v>45953</v>
      </c>
      <c r="F606" s="44">
        <v>45954</v>
      </c>
      <c r="G606" s="44">
        <v>45961</v>
      </c>
      <c r="H606" s="45" t="str">
        <f t="shared" si="49"/>
        <v>Delivered</v>
      </c>
      <c r="I606" s="48">
        <f t="shared" si="45"/>
        <v>1</v>
      </c>
      <c r="J606" s="48">
        <f t="shared" si="46"/>
        <v>1</v>
      </c>
      <c r="K606" s="48">
        <f t="shared" si="47"/>
        <v>7</v>
      </c>
      <c r="L606" s="39" t="s">
        <v>9</v>
      </c>
      <c r="N606" s="44">
        <v>45981</v>
      </c>
      <c r="O606" s="39">
        <v>1</v>
      </c>
      <c r="P606" s="39">
        <v>1</v>
      </c>
      <c r="Q606" s="39">
        <v>7</v>
      </c>
      <c r="R606" s="39">
        <v>9</v>
      </c>
      <c r="S606" s="51" t="str">
        <f t="shared" si="48"/>
        <v>Promoter</v>
      </c>
    </row>
    <row r="607" ht="14.25" customHeight="1" spans="1:19">
      <c r="A607" s="43" t="s">
        <v>649</v>
      </c>
      <c r="B607" s="43" t="s">
        <v>14</v>
      </c>
      <c r="C607" s="43" t="s">
        <v>22</v>
      </c>
      <c r="D607" s="44">
        <v>45938</v>
      </c>
      <c r="E607" s="44">
        <v>45941</v>
      </c>
      <c r="F607" s="44">
        <v>45946</v>
      </c>
      <c r="G607" s="44">
        <v>45952</v>
      </c>
      <c r="H607" s="45" t="str">
        <f t="shared" si="49"/>
        <v>Delivered</v>
      </c>
      <c r="I607" s="48">
        <f t="shared" si="45"/>
        <v>3</v>
      </c>
      <c r="J607" s="48">
        <f t="shared" si="46"/>
        <v>5</v>
      </c>
      <c r="K607" s="48">
        <f t="shared" si="47"/>
        <v>6</v>
      </c>
      <c r="L607" s="39" t="s">
        <v>9</v>
      </c>
      <c r="N607" s="44">
        <v>45966</v>
      </c>
      <c r="O607" s="39">
        <v>3</v>
      </c>
      <c r="P607" s="39">
        <v>5</v>
      </c>
      <c r="Q607" s="39">
        <v>6</v>
      </c>
      <c r="R607" s="39">
        <v>3</v>
      </c>
      <c r="S607" s="51" t="str">
        <f t="shared" si="48"/>
        <v>Detractor</v>
      </c>
    </row>
    <row r="608" ht="14.25" customHeight="1" spans="1:19">
      <c r="A608" s="43" t="s">
        <v>650</v>
      </c>
      <c r="B608" s="43" t="s">
        <v>11</v>
      </c>
      <c r="C608" s="43" t="s">
        <v>22</v>
      </c>
      <c r="D608" s="44">
        <v>45946</v>
      </c>
      <c r="E608" s="44">
        <v>45950</v>
      </c>
      <c r="F608" s="44">
        <v>45955</v>
      </c>
      <c r="G608" s="44">
        <v>45962</v>
      </c>
      <c r="H608" s="45" t="str">
        <f t="shared" si="49"/>
        <v>Delivered</v>
      </c>
      <c r="I608" s="48">
        <f t="shared" si="45"/>
        <v>4</v>
      </c>
      <c r="J608" s="48">
        <f t="shared" si="46"/>
        <v>5</v>
      </c>
      <c r="K608" s="48">
        <f t="shared" si="47"/>
        <v>7</v>
      </c>
      <c r="L608" s="39" t="s">
        <v>9</v>
      </c>
      <c r="N608" s="44">
        <v>45972</v>
      </c>
      <c r="O608" s="39">
        <v>4</v>
      </c>
      <c r="P608" s="39">
        <v>5</v>
      </c>
      <c r="Q608" s="39">
        <v>7</v>
      </c>
      <c r="R608" s="39">
        <v>2</v>
      </c>
      <c r="S608" s="51" t="str">
        <f t="shared" si="48"/>
        <v>Detractor</v>
      </c>
    </row>
    <row r="609" ht="14.25" customHeight="1" spans="1:19">
      <c r="A609" s="43" t="s">
        <v>651</v>
      </c>
      <c r="B609" s="43" t="s">
        <v>13</v>
      </c>
      <c r="C609" s="43" t="s">
        <v>21</v>
      </c>
      <c r="D609" s="44">
        <v>45960</v>
      </c>
      <c r="E609" s="44">
        <v>45964</v>
      </c>
      <c r="F609" s="44">
        <v>45968</v>
      </c>
      <c r="G609" s="44">
        <v>45970</v>
      </c>
      <c r="H609" s="45" t="str">
        <f t="shared" si="49"/>
        <v>Delivered</v>
      </c>
      <c r="I609" s="48">
        <f t="shared" si="45"/>
        <v>4</v>
      </c>
      <c r="J609" s="48">
        <f t="shared" si="46"/>
        <v>4</v>
      </c>
      <c r="K609" s="48">
        <f t="shared" si="47"/>
        <v>2</v>
      </c>
      <c r="L609" s="39" t="s">
        <v>9</v>
      </c>
      <c r="N609" s="44">
        <v>46000</v>
      </c>
      <c r="O609" s="39">
        <v>4</v>
      </c>
      <c r="P609" s="39">
        <v>4</v>
      </c>
      <c r="Q609" s="39">
        <v>2</v>
      </c>
      <c r="R609" s="39">
        <v>4</v>
      </c>
      <c r="S609" s="51" t="str">
        <f t="shared" si="48"/>
        <v>Detractor</v>
      </c>
    </row>
    <row r="610" ht="14.25" customHeight="1" spans="1:19">
      <c r="A610" s="43" t="s">
        <v>652</v>
      </c>
      <c r="B610" s="43" t="s">
        <v>11</v>
      </c>
      <c r="C610" s="43" t="s">
        <v>22</v>
      </c>
      <c r="D610" s="44">
        <v>45949</v>
      </c>
      <c r="E610" s="44">
        <v>45953</v>
      </c>
      <c r="F610" s="44">
        <v>45957</v>
      </c>
      <c r="G610" s="44">
        <v>45962</v>
      </c>
      <c r="H610" s="45" t="str">
        <f t="shared" si="49"/>
        <v>Delivered</v>
      </c>
      <c r="I610" s="48">
        <f t="shared" si="45"/>
        <v>4</v>
      </c>
      <c r="J610" s="48">
        <f t="shared" si="46"/>
        <v>4</v>
      </c>
      <c r="K610" s="48">
        <f t="shared" si="47"/>
        <v>5</v>
      </c>
      <c r="L610" s="39" t="s">
        <v>9</v>
      </c>
      <c r="N610" s="44">
        <v>45987</v>
      </c>
      <c r="O610" s="39">
        <v>4</v>
      </c>
      <c r="P610" s="39">
        <v>4</v>
      </c>
      <c r="Q610" s="39">
        <v>5</v>
      </c>
      <c r="R610" s="39">
        <v>0</v>
      </c>
      <c r="S610" s="51" t="str">
        <f t="shared" si="48"/>
        <v>Detractor</v>
      </c>
    </row>
    <row r="611" ht="14.25" customHeight="1" spans="1:19">
      <c r="A611" s="43" t="s">
        <v>653</v>
      </c>
      <c r="B611" s="43" t="s">
        <v>11</v>
      </c>
      <c r="C611" s="43" t="s">
        <v>21</v>
      </c>
      <c r="D611" s="44">
        <v>45935</v>
      </c>
      <c r="E611" s="44">
        <v>45939</v>
      </c>
      <c r="F611" s="44">
        <v>45940</v>
      </c>
      <c r="G611" s="44">
        <v>45945</v>
      </c>
      <c r="H611" s="45" t="str">
        <f t="shared" si="49"/>
        <v>Delivered</v>
      </c>
      <c r="I611" s="48">
        <f t="shared" si="45"/>
        <v>4</v>
      </c>
      <c r="J611" s="48">
        <f t="shared" si="46"/>
        <v>1</v>
      </c>
      <c r="K611" s="48">
        <f t="shared" si="47"/>
        <v>5</v>
      </c>
      <c r="L611" s="39" t="s">
        <v>9</v>
      </c>
      <c r="N611" s="44">
        <v>45964</v>
      </c>
      <c r="O611" s="39">
        <v>4</v>
      </c>
      <c r="P611" s="39">
        <v>1</v>
      </c>
      <c r="Q611" s="39">
        <v>5</v>
      </c>
      <c r="R611" s="39">
        <v>1</v>
      </c>
      <c r="S611" s="51" t="str">
        <f t="shared" si="48"/>
        <v>Detractor</v>
      </c>
    </row>
    <row r="612" ht="14.25" customHeight="1" spans="1:19">
      <c r="A612" s="43" t="s">
        <v>654</v>
      </c>
      <c r="B612" s="43" t="s">
        <v>13</v>
      </c>
      <c r="C612" s="43" t="s">
        <v>21</v>
      </c>
      <c r="D612" s="44">
        <v>45938</v>
      </c>
      <c r="E612" s="44">
        <v>45941</v>
      </c>
      <c r="F612" s="44">
        <v>45942</v>
      </c>
      <c r="G612" s="44">
        <v>45948</v>
      </c>
      <c r="H612" s="45" t="str">
        <f t="shared" si="49"/>
        <v>Delivered</v>
      </c>
      <c r="I612" s="48">
        <f t="shared" si="45"/>
        <v>3</v>
      </c>
      <c r="J612" s="48">
        <f t="shared" si="46"/>
        <v>1</v>
      </c>
      <c r="K612" s="48">
        <f t="shared" si="47"/>
        <v>6</v>
      </c>
      <c r="L612" s="39" t="s">
        <v>9</v>
      </c>
      <c r="N612" s="44">
        <v>45966</v>
      </c>
      <c r="O612" s="39">
        <v>3</v>
      </c>
      <c r="P612" s="39">
        <v>1</v>
      </c>
      <c r="Q612" s="39">
        <v>6</v>
      </c>
      <c r="R612" s="39">
        <v>1</v>
      </c>
      <c r="S612" s="51" t="str">
        <f t="shared" si="48"/>
        <v>Detractor</v>
      </c>
    </row>
    <row r="613" ht="14.25" customHeight="1" spans="1:19">
      <c r="A613" s="43" t="s">
        <v>655</v>
      </c>
      <c r="B613" s="43" t="s">
        <v>13</v>
      </c>
      <c r="C613" s="43" t="s">
        <v>22</v>
      </c>
      <c r="D613" s="44">
        <v>45945</v>
      </c>
      <c r="E613" s="44">
        <v>45947</v>
      </c>
      <c r="F613" s="44">
        <v>45952</v>
      </c>
      <c r="G613" s="44">
        <v>45956</v>
      </c>
      <c r="H613" s="45" t="str">
        <f t="shared" si="49"/>
        <v>Delivered</v>
      </c>
      <c r="I613" s="48">
        <f t="shared" si="45"/>
        <v>2</v>
      </c>
      <c r="J613" s="48">
        <f t="shared" si="46"/>
        <v>5</v>
      </c>
      <c r="K613" s="48">
        <f t="shared" si="47"/>
        <v>4</v>
      </c>
      <c r="L613" s="39" t="s">
        <v>9</v>
      </c>
      <c r="N613" s="44">
        <v>45979</v>
      </c>
      <c r="O613" s="39">
        <v>2</v>
      </c>
      <c r="P613" s="39">
        <v>5</v>
      </c>
      <c r="Q613" s="39">
        <v>4</v>
      </c>
      <c r="R613" s="39">
        <v>2</v>
      </c>
      <c r="S613" s="51" t="str">
        <f t="shared" si="48"/>
        <v>Detractor</v>
      </c>
    </row>
    <row r="614" ht="14.25" customHeight="1" spans="1:19">
      <c r="A614" s="43" t="s">
        <v>656</v>
      </c>
      <c r="B614" s="43" t="s">
        <v>12</v>
      </c>
      <c r="C614" s="43" t="s">
        <v>22</v>
      </c>
      <c r="D614" s="44">
        <v>45951</v>
      </c>
      <c r="E614" s="44">
        <v>45955</v>
      </c>
      <c r="F614" s="44">
        <v>45960</v>
      </c>
      <c r="G614" s="44">
        <v>45962</v>
      </c>
      <c r="H614" s="45" t="str">
        <f t="shared" si="49"/>
        <v>Delivered</v>
      </c>
      <c r="I614" s="48">
        <f t="shared" si="45"/>
        <v>4</v>
      </c>
      <c r="J614" s="48">
        <f t="shared" si="46"/>
        <v>5</v>
      </c>
      <c r="K614" s="48">
        <f t="shared" si="47"/>
        <v>2</v>
      </c>
      <c r="L614" s="39" t="s">
        <v>9</v>
      </c>
      <c r="N614" s="44">
        <v>45984</v>
      </c>
      <c r="O614" s="39">
        <v>4</v>
      </c>
      <c r="P614" s="39">
        <v>5</v>
      </c>
      <c r="Q614" s="39">
        <v>2</v>
      </c>
      <c r="R614" s="39">
        <v>8</v>
      </c>
      <c r="S614" s="51" t="str">
        <f t="shared" si="48"/>
        <v>Passive</v>
      </c>
    </row>
    <row r="615" ht="14.25" customHeight="1" spans="1:19">
      <c r="A615" s="43" t="s">
        <v>657</v>
      </c>
      <c r="B615" s="43" t="s">
        <v>13</v>
      </c>
      <c r="C615" s="43" t="s">
        <v>20</v>
      </c>
      <c r="D615" s="44">
        <v>45939</v>
      </c>
      <c r="H615" s="45" t="str">
        <f t="shared" si="49"/>
        <v>Cancelled</v>
      </c>
      <c r="I615" s="48">
        <f t="shared" si="45"/>
        <v>0</v>
      </c>
      <c r="J615" s="48">
        <f t="shared" si="46"/>
        <v>0</v>
      </c>
      <c r="K615" s="48">
        <f t="shared" si="47"/>
        <v>0</v>
      </c>
      <c r="L615" s="39" t="s">
        <v>10</v>
      </c>
      <c r="M615" s="39" t="s">
        <v>117</v>
      </c>
      <c r="S615" s="51" t="str">
        <f t="shared" si="48"/>
        <v>Detractor</v>
      </c>
    </row>
    <row r="616" ht="14.25" customHeight="1" spans="1:19">
      <c r="A616" s="43" t="s">
        <v>658</v>
      </c>
      <c r="B616" s="43" t="s">
        <v>14</v>
      </c>
      <c r="C616" s="43" t="s">
        <v>22</v>
      </c>
      <c r="D616" s="44">
        <v>45945</v>
      </c>
      <c r="E616" s="44">
        <v>45949</v>
      </c>
      <c r="F616" s="44">
        <v>45953</v>
      </c>
      <c r="G616" s="44">
        <v>45958</v>
      </c>
      <c r="H616" s="45" t="str">
        <f t="shared" si="49"/>
        <v>Delivered</v>
      </c>
      <c r="I616" s="48">
        <f t="shared" si="45"/>
        <v>4</v>
      </c>
      <c r="J616" s="48">
        <f t="shared" si="46"/>
        <v>4</v>
      </c>
      <c r="K616" s="48">
        <f t="shared" si="47"/>
        <v>5</v>
      </c>
      <c r="L616" s="39" t="s">
        <v>9</v>
      </c>
      <c r="N616" s="44">
        <v>45980</v>
      </c>
      <c r="O616" s="39">
        <v>4</v>
      </c>
      <c r="P616" s="39">
        <v>4</v>
      </c>
      <c r="Q616" s="39">
        <v>5</v>
      </c>
      <c r="R616" s="39">
        <v>6</v>
      </c>
      <c r="S616" s="51" t="str">
        <f t="shared" si="48"/>
        <v>Detractor</v>
      </c>
    </row>
    <row r="617" ht="14.25" customHeight="1" spans="1:19">
      <c r="A617" s="43" t="s">
        <v>659</v>
      </c>
      <c r="B617" s="43" t="s">
        <v>11</v>
      </c>
      <c r="C617" s="43" t="s">
        <v>22</v>
      </c>
      <c r="D617" s="44">
        <v>45939</v>
      </c>
      <c r="E617" s="44">
        <v>45942</v>
      </c>
      <c r="F617" s="44">
        <v>45943</v>
      </c>
      <c r="G617" s="44">
        <v>45949</v>
      </c>
      <c r="H617" s="45" t="str">
        <f t="shared" si="49"/>
        <v>Delivered</v>
      </c>
      <c r="I617" s="48">
        <f t="shared" si="45"/>
        <v>3</v>
      </c>
      <c r="J617" s="48">
        <f t="shared" si="46"/>
        <v>1</v>
      </c>
      <c r="K617" s="48">
        <f t="shared" si="47"/>
        <v>6</v>
      </c>
      <c r="L617" s="39" t="s">
        <v>9</v>
      </c>
      <c r="N617" s="44">
        <v>45960</v>
      </c>
      <c r="O617" s="39">
        <v>3</v>
      </c>
      <c r="P617" s="39">
        <v>1</v>
      </c>
      <c r="Q617" s="39">
        <v>6</v>
      </c>
      <c r="R617" s="39">
        <v>6</v>
      </c>
      <c r="S617" s="51" t="str">
        <f t="shared" si="48"/>
        <v>Detractor</v>
      </c>
    </row>
    <row r="618" ht="14.25" customHeight="1" spans="1:19">
      <c r="A618" s="43" t="s">
        <v>660</v>
      </c>
      <c r="B618" s="43" t="s">
        <v>11</v>
      </c>
      <c r="C618" s="43" t="s">
        <v>22</v>
      </c>
      <c r="D618" s="44">
        <v>45952</v>
      </c>
      <c r="E618" s="44">
        <v>45957</v>
      </c>
      <c r="F618" s="44">
        <v>45958</v>
      </c>
      <c r="G618" s="44">
        <v>45961</v>
      </c>
      <c r="H618" s="45" t="str">
        <f t="shared" si="49"/>
        <v>Delivered</v>
      </c>
      <c r="I618" s="48">
        <f t="shared" si="45"/>
        <v>5</v>
      </c>
      <c r="J618" s="48">
        <f t="shared" si="46"/>
        <v>1</v>
      </c>
      <c r="K618" s="48">
        <f t="shared" si="47"/>
        <v>3</v>
      </c>
      <c r="L618" s="39" t="s">
        <v>9</v>
      </c>
      <c r="N618" s="44">
        <v>45989</v>
      </c>
      <c r="O618" s="39">
        <v>5</v>
      </c>
      <c r="P618" s="39">
        <v>1</v>
      </c>
      <c r="Q618" s="39">
        <v>3</v>
      </c>
      <c r="R618" s="39">
        <v>3</v>
      </c>
      <c r="S618" s="51" t="str">
        <f t="shared" si="48"/>
        <v>Detractor</v>
      </c>
    </row>
    <row r="619" ht="14.25" customHeight="1" spans="1:19">
      <c r="A619" s="43" t="s">
        <v>661</v>
      </c>
      <c r="B619" s="43" t="s">
        <v>14</v>
      </c>
      <c r="C619" s="43" t="s">
        <v>21</v>
      </c>
      <c r="D619" s="44">
        <v>45931</v>
      </c>
      <c r="E619" s="44">
        <v>45934</v>
      </c>
      <c r="F619" s="44">
        <v>45939</v>
      </c>
      <c r="G619" s="44">
        <v>45943</v>
      </c>
      <c r="H619" s="45" t="str">
        <f t="shared" si="49"/>
        <v>Delivered</v>
      </c>
      <c r="I619" s="48">
        <f t="shared" si="45"/>
        <v>3</v>
      </c>
      <c r="J619" s="48">
        <f t="shared" si="46"/>
        <v>5</v>
      </c>
      <c r="K619" s="48">
        <f t="shared" si="47"/>
        <v>4</v>
      </c>
      <c r="L619" s="39" t="s">
        <v>9</v>
      </c>
      <c r="N619" s="44">
        <v>45971</v>
      </c>
      <c r="O619" s="39">
        <v>3</v>
      </c>
      <c r="P619" s="39">
        <v>5</v>
      </c>
      <c r="Q619" s="39">
        <v>4</v>
      </c>
      <c r="R619" s="39">
        <v>4</v>
      </c>
      <c r="S619" s="51" t="str">
        <f t="shared" si="48"/>
        <v>Detractor</v>
      </c>
    </row>
    <row r="620" ht="14.25" customHeight="1" spans="1:19">
      <c r="A620" s="43" t="s">
        <v>662</v>
      </c>
      <c r="B620" s="43" t="s">
        <v>13</v>
      </c>
      <c r="C620" s="43" t="s">
        <v>20</v>
      </c>
      <c r="D620" s="44">
        <v>45959</v>
      </c>
      <c r="H620" s="45" t="str">
        <f t="shared" si="49"/>
        <v>Cancelled</v>
      </c>
      <c r="I620" s="48">
        <f t="shared" si="45"/>
        <v>0</v>
      </c>
      <c r="J620" s="48">
        <f t="shared" si="46"/>
        <v>0</v>
      </c>
      <c r="K620" s="48">
        <f t="shared" si="47"/>
        <v>0</v>
      </c>
      <c r="L620" s="39" t="s">
        <v>10</v>
      </c>
      <c r="M620" s="39" t="s">
        <v>117</v>
      </c>
      <c r="S620" s="51" t="str">
        <f t="shared" si="48"/>
        <v>Detractor</v>
      </c>
    </row>
    <row r="621" ht="14.25" customHeight="1" spans="1:19">
      <c r="A621" s="43" t="s">
        <v>663</v>
      </c>
      <c r="B621" s="43" t="s">
        <v>14</v>
      </c>
      <c r="C621" s="43" t="s">
        <v>22</v>
      </c>
      <c r="D621" s="44">
        <v>45956</v>
      </c>
      <c r="E621" s="44">
        <v>45957</v>
      </c>
      <c r="F621" s="44">
        <v>45960</v>
      </c>
      <c r="G621" s="44">
        <v>45963</v>
      </c>
      <c r="H621" s="45" t="str">
        <f t="shared" si="49"/>
        <v>Delivered</v>
      </c>
      <c r="I621" s="48">
        <f t="shared" si="45"/>
        <v>1</v>
      </c>
      <c r="J621" s="48">
        <f t="shared" si="46"/>
        <v>3</v>
      </c>
      <c r="K621" s="48">
        <f t="shared" si="47"/>
        <v>3</v>
      </c>
      <c r="L621" s="39" t="s">
        <v>10</v>
      </c>
      <c r="M621" s="39" t="s">
        <v>79</v>
      </c>
      <c r="O621" s="39">
        <v>1</v>
      </c>
      <c r="P621" s="39">
        <v>3</v>
      </c>
      <c r="Q621" s="39">
        <v>3</v>
      </c>
      <c r="S621" s="51" t="str">
        <f t="shared" si="48"/>
        <v>Detractor</v>
      </c>
    </row>
    <row r="622" ht="14.25" customHeight="1" spans="1:19">
      <c r="A622" s="43" t="s">
        <v>664</v>
      </c>
      <c r="B622" s="43" t="s">
        <v>14</v>
      </c>
      <c r="C622" s="43" t="s">
        <v>22</v>
      </c>
      <c r="D622" s="44">
        <v>45945</v>
      </c>
      <c r="E622" s="44">
        <v>45949</v>
      </c>
      <c r="F622" s="44">
        <v>45954</v>
      </c>
      <c r="G622" s="44">
        <v>45958</v>
      </c>
      <c r="H622" s="45" t="str">
        <f t="shared" si="49"/>
        <v>Delivered</v>
      </c>
      <c r="I622" s="48">
        <f t="shared" si="45"/>
        <v>4</v>
      </c>
      <c r="J622" s="48">
        <f t="shared" si="46"/>
        <v>5</v>
      </c>
      <c r="K622" s="48">
        <f t="shared" si="47"/>
        <v>4</v>
      </c>
      <c r="L622" s="39" t="s">
        <v>10</v>
      </c>
      <c r="M622" s="39" t="s">
        <v>49</v>
      </c>
      <c r="O622" s="39">
        <v>4</v>
      </c>
      <c r="P622" s="39">
        <v>5</v>
      </c>
      <c r="Q622" s="39">
        <v>4</v>
      </c>
      <c r="S622" s="51" t="str">
        <f t="shared" si="48"/>
        <v>Detractor</v>
      </c>
    </row>
    <row r="623" ht="14.25" customHeight="1" spans="1:19">
      <c r="A623" s="43" t="s">
        <v>665</v>
      </c>
      <c r="B623" s="43" t="s">
        <v>12</v>
      </c>
      <c r="C623" s="43" t="s">
        <v>21</v>
      </c>
      <c r="D623" s="44">
        <v>45959</v>
      </c>
      <c r="E623" s="44">
        <v>45960</v>
      </c>
      <c r="F623" s="44">
        <v>45963</v>
      </c>
      <c r="G623" s="44">
        <v>45965</v>
      </c>
      <c r="H623" s="45" t="str">
        <f t="shared" si="49"/>
        <v>Delivered</v>
      </c>
      <c r="I623" s="48">
        <f t="shared" si="45"/>
        <v>1</v>
      </c>
      <c r="J623" s="48">
        <f t="shared" si="46"/>
        <v>3</v>
      </c>
      <c r="K623" s="48">
        <f t="shared" si="47"/>
        <v>2</v>
      </c>
      <c r="L623" s="39" t="s">
        <v>9</v>
      </c>
      <c r="N623" s="44">
        <v>45981</v>
      </c>
      <c r="O623" s="39">
        <v>1</v>
      </c>
      <c r="P623" s="39">
        <v>3</v>
      </c>
      <c r="Q623" s="39">
        <v>2</v>
      </c>
      <c r="R623" s="39">
        <v>6</v>
      </c>
      <c r="S623" s="51" t="str">
        <f t="shared" si="48"/>
        <v>Detractor</v>
      </c>
    </row>
    <row r="624" ht="14.25" customHeight="1" spans="1:19">
      <c r="A624" s="43" t="s">
        <v>666</v>
      </c>
      <c r="B624" s="43" t="s">
        <v>14</v>
      </c>
      <c r="C624" s="43" t="s">
        <v>22</v>
      </c>
      <c r="D624" s="44">
        <v>45940</v>
      </c>
      <c r="E624" s="44">
        <v>45944</v>
      </c>
      <c r="F624" s="44">
        <v>45945</v>
      </c>
      <c r="G624" s="44">
        <v>45951</v>
      </c>
      <c r="H624" s="45" t="str">
        <f t="shared" si="49"/>
        <v>Delivered</v>
      </c>
      <c r="I624" s="48">
        <f t="shared" si="45"/>
        <v>4</v>
      </c>
      <c r="J624" s="48">
        <f t="shared" si="46"/>
        <v>1</v>
      </c>
      <c r="K624" s="48">
        <f t="shared" si="47"/>
        <v>6</v>
      </c>
      <c r="L624" s="39" t="s">
        <v>9</v>
      </c>
      <c r="N624" s="44">
        <v>45971</v>
      </c>
      <c r="O624" s="39">
        <v>4</v>
      </c>
      <c r="P624" s="39">
        <v>1</v>
      </c>
      <c r="Q624" s="39">
        <v>6</v>
      </c>
      <c r="R624" s="39">
        <v>9</v>
      </c>
      <c r="S624" s="51" t="str">
        <f t="shared" si="48"/>
        <v>Promoter</v>
      </c>
    </row>
    <row r="625" ht="14.25" customHeight="1" spans="1:19">
      <c r="A625" s="43" t="s">
        <v>667</v>
      </c>
      <c r="B625" s="43" t="s">
        <v>11</v>
      </c>
      <c r="C625" s="43" t="s">
        <v>22</v>
      </c>
      <c r="D625" s="44">
        <v>45952</v>
      </c>
      <c r="E625" s="44">
        <v>45957</v>
      </c>
      <c r="F625" s="44">
        <v>45962</v>
      </c>
      <c r="G625" s="44">
        <v>45969</v>
      </c>
      <c r="H625" s="45" t="str">
        <f t="shared" si="49"/>
        <v>Delivered</v>
      </c>
      <c r="I625" s="48">
        <f t="shared" si="45"/>
        <v>5</v>
      </c>
      <c r="J625" s="48">
        <f t="shared" si="46"/>
        <v>5</v>
      </c>
      <c r="K625" s="48">
        <f t="shared" si="47"/>
        <v>7</v>
      </c>
      <c r="L625" s="39" t="s">
        <v>9</v>
      </c>
      <c r="N625" s="44">
        <v>45986</v>
      </c>
      <c r="O625" s="39">
        <v>5</v>
      </c>
      <c r="P625" s="39">
        <v>5</v>
      </c>
      <c r="Q625" s="39">
        <v>7</v>
      </c>
      <c r="R625" s="39">
        <v>8</v>
      </c>
      <c r="S625" s="51" t="str">
        <f t="shared" si="48"/>
        <v>Passive</v>
      </c>
    </row>
    <row r="626" ht="14.25" customHeight="1" spans="1:19">
      <c r="A626" s="43" t="s">
        <v>668</v>
      </c>
      <c r="B626" s="43" t="s">
        <v>14</v>
      </c>
      <c r="C626" s="43" t="s">
        <v>20</v>
      </c>
      <c r="D626" s="44">
        <v>45948</v>
      </c>
      <c r="H626" s="45" t="str">
        <f t="shared" si="49"/>
        <v>Cancelled</v>
      </c>
      <c r="I626" s="48">
        <f t="shared" si="45"/>
        <v>0</v>
      </c>
      <c r="J626" s="48">
        <f t="shared" si="46"/>
        <v>0</v>
      </c>
      <c r="K626" s="48">
        <f t="shared" si="47"/>
        <v>0</v>
      </c>
      <c r="L626" s="39" t="s">
        <v>10</v>
      </c>
      <c r="M626" s="39" t="s">
        <v>117</v>
      </c>
      <c r="S626" s="51" t="str">
        <f t="shared" si="48"/>
        <v>Detractor</v>
      </c>
    </row>
    <row r="627" ht="14.25" customHeight="1" spans="1:19">
      <c r="A627" s="43" t="s">
        <v>669</v>
      </c>
      <c r="B627" s="43" t="s">
        <v>11</v>
      </c>
      <c r="C627" s="43" t="s">
        <v>21</v>
      </c>
      <c r="D627" s="44">
        <v>45936</v>
      </c>
      <c r="E627" s="44">
        <v>45938</v>
      </c>
      <c r="F627" s="44">
        <v>45942</v>
      </c>
      <c r="G627" s="44">
        <v>45949</v>
      </c>
      <c r="H627" s="45" t="str">
        <f t="shared" si="49"/>
        <v>Delivered</v>
      </c>
      <c r="I627" s="48">
        <f t="shared" si="45"/>
        <v>2</v>
      </c>
      <c r="J627" s="48">
        <f t="shared" si="46"/>
        <v>4</v>
      </c>
      <c r="K627" s="48">
        <f t="shared" si="47"/>
        <v>7</v>
      </c>
      <c r="L627" s="39" t="s">
        <v>9</v>
      </c>
      <c r="N627" s="44">
        <v>45976</v>
      </c>
      <c r="O627" s="39">
        <v>2</v>
      </c>
      <c r="P627" s="39">
        <v>4</v>
      </c>
      <c r="Q627" s="39">
        <v>7</v>
      </c>
      <c r="R627" s="39">
        <v>0</v>
      </c>
      <c r="S627" s="51" t="str">
        <f t="shared" si="48"/>
        <v>Detractor</v>
      </c>
    </row>
    <row r="628" ht="14.25" customHeight="1" spans="1:19">
      <c r="A628" s="43" t="s">
        <v>670</v>
      </c>
      <c r="B628" s="43" t="s">
        <v>11</v>
      </c>
      <c r="C628" s="43" t="s">
        <v>22</v>
      </c>
      <c r="D628" s="44">
        <v>45933</v>
      </c>
      <c r="E628" s="44">
        <v>45938</v>
      </c>
      <c r="F628" s="44">
        <v>45940</v>
      </c>
      <c r="G628" s="44">
        <v>45942</v>
      </c>
      <c r="H628" s="45" t="str">
        <f t="shared" si="49"/>
        <v>Delivered</v>
      </c>
      <c r="I628" s="48">
        <f t="shared" si="45"/>
        <v>5</v>
      </c>
      <c r="J628" s="48">
        <f t="shared" si="46"/>
        <v>2</v>
      </c>
      <c r="K628" s="48">
        <f t="shared" si="47"/>
        <v>2</v>
      </c>
      <c r="L628" s="39" t="s">
        <v>9</v>
      </c>
      <c r="N628" s="44">
        <v>45972</v>
      </c>
      <c r="O628" s="39">
        <v>5</v>
      </c>
      <c r="P628" s="39">
        <v>2</v>
      </c>
      <c r="Q628" s="39">
        <v>2</v>
      </c>
      <c r="R628" s="39">
        <v>1</v>
      </c>
      <c r="S628" s="51" t="str">
        <f t="shared" si="48"/>
        <v>Detractor</v>
      </c>
    </row>
    <row r="629" ht="14.25" customHeight="1" spans="1:19">
      <c r="A629" s="43" t="s">
        <v>671</v>
      </c>
      <c r="B629" s="43" t="s">
        <v>11</v>
      </c>
      <c r="C629" s="43" t="s">
        <v>20</v>
      </c>
      <c r="D629" s="44">
        <v>45945</v>
      </c>
      <c r="H629" s="45" t="str">
        <f t="shared" si="49"/>
        <v>Cancelled</v>
      </c>
      <c r="I629" s="48">
        <f t="shared" si="45"/>
        <v>0</v>
      </c>
      <c r="J629" s="48">
        <f t="shared" si="46"/>
        <v>0</v>
      </c>
      <c r="K629" s="48">
        <f t="shared" si="47"/>
        <v>0</v>
      </c>
      <c r="L629" s="39" t="s">
        <v>10</v>
      </c>
      <c r="M629" s="39" t="s">
        <v>117</v>
      </c>
      <c r="S629" s="51" t="str">
        <f t="shared" si="48"/>
        <v>Detractor</v>
      </c>
    </row>
    <row r="630" ht="14.25" customHeight="1" spans="1:19">
      <c r="A630" s="43" t="s">
        <v>672</v>
      </c>
      <c r="B630" s="43" t="s">
        <v>13</v>
      </c>
      <c r="C630" s="43" t="s">
        <v>22</v>
      </c>
      <c r="D630" s="44">
        <v>45961</v>
      </c>
      <c r="E630" s="44">
        <v>45964</v>
      </c>
      <c r="F630" s="44">
        <v>45965</v>
      </c>
      <c r="G630" s="44">
        <v>45968</v>
      </c>
      <c r="H630" s="45" t="str">
        <f t="shared" si="49"/>
        <v>Delivered</v>
      </c>
      <c r="I630" s="48">
        <f t="shared" si="45"/>
        <v>3</v>
      </c>
      <c r="J630" s="48">
        <f t="shared" si="46"/>
        <v>1</v>
      </c>
      <c r="K630" s="48">
        <f t="shared" si="47"/>
        <v>3</v>
      </c>
      <c r="L630" s="39" t="s">
        <v>10</v>
      </c>
      <c r="M630" s="39" t="s">
        <v>44</v>
      </c>
      <c r="O630" s="39">
        <v>3</v>
      </c>
      <c r="P630" s="39">
        <v>1</v>
      </c>
      <c r="Q630" s="39">
        <v>3</v>
      </c>
      <c r="S630" s="51" t="str">
        <f t="shared" si="48"/>
        <v>Detractor</v>
      </c>
    </row>
    <row r="631" ht="14.25" customHeight="1" spans="1:19">
      <c r="A631" s="43" t="s">
        <v>673</v>
      </c>
      <c r="B631" s="43" t="s">
        <v>12</v>
      </c>
      <c r="C631" s="43" t="s">
        <v>22</v>
      </c>
      <c r="D631" s="44">
        <v>45942</v>
      </c>
      <c r="E631" s="44">
        <v>45945</v>
      </c>
      <c r="F631" s="44">
        <v>45946</v>
      </c>
      <c r="G631" s="44">
        <v>45953</v>
      </c>
      <c r="H631" s="45" t="str">
        <f t="shared" si="49"/>
        <v>Delivered</v>
      </c>
      <c r="I631" s="48">
        <f t="shared" si="45"/>
        <v>3</v>
      </c>
      <c r="J631" s="48">
        <f t="shared" si="46"/>
        <v>1</v>
      </c>
      <c r="K631" s="48">
        <f t="shared" si="47"/>
        <v>7</v>
      </c>
      <c r="L631" s="39" t="s">
        <v>9</v>
      </c>
      <c r="N631" s="44">
        <v>45978</v>
      </c>
      <c r="O631" s="39">
        <v>3</v>
      </c>
      <c r="P631" s="39">
        <v>1</v>
      </c>
      <c r="Q631" s="39">
        <v>7</v>
      </c>
      <c r="R631" s="39">
        <v>3</v>
      </c>
      <c r="S631" s="51" t="str">
        <f t="shared" si="48"/>
        <v>Detractor</v>
      </c>
    </row>
    <row r="632" ht="14.25" customHeight="1" spans="1:19">
      <c r="A632" s="43" t="s">
        <v>674</v>
      </c>
      <c r="B632" s="43" t="s">
        <v>11</v>
      </c>
      <c r="C632" s="43" t="s">
        <v>21</v>
      </c>
      <c r="D632" s="44">
        <v>45949</v>
      </c>
      <c r="E632" s="44">
        <v>45950</v>
      </c>
      <c r="F632" s="44">
        <v>45955</v>
      </c>
      <c r="G632" s="44">
        <v>45961</v>
      </c>
      <c r="H632" s="45" t="str">
        <f t="shared" si="49"/>
        <v>Delivered</v>
      </c>
      <c r="I632" s="48">
        <f t="shared" si="45"/>
        <v>1</v>
      </c>
      <c r="J632" s="48">
        <f t="shared" si="46"/>
        <v>5</v>
      </c>
      <c r="K632" s="48">
        <f t="shared" si="47"/>
        <v>6</v>
      </c>
      <c r="L632" s="39" t="s">
        <v>9</v>
      </c>
      <c r="N632" s="44">
        <v>45982</v>
      </c>
      <c r="O632" s="39">
        <v>1</v>
      </c>
      <c r="P632" s="39">
        <v>5</v>
      </c>
      <c r="Q632" s="39">
        <v>6</v>
      </c>
      <c r="R632" s="39">
        <v>1</v>
      </c>
      <c r="S632" s="51" t="str">
        <f t="shared" si="48"/>
        <v>Detractor</v>
      </c>
    </row>
    <row r="633" ht="14.25" customHeight="1" spans="1:19">
      <c r="A633" s="43" t="s">
        <v>675</v>
      </c>
      <c r="B633" s="43" t="s">
        <v>11</v>
      </c>
      <c r="C633" s="43" t="s">
        <v>20</v>
      </c>
      <c r="D633" s="44">
        <v>45940</v>
      </c>
      <c r="H633" s="45" t="str">
        <f t="shared" si="49"/>
        <v>Cancelled</v>
      </c>
      <c r="I633" s="48">
        <f t="shared" si="45"/>
        <v>0</v>
      </c>
      <c r="J633" s="48">
        <f t="shared" si="46"/>
        <v>0</v>
      </c>
      <c r="K633" s="48">
        <f t="shared" si="47"/>
        <v>0</v>
      </c>
      <c r="L633" s="39" t="s">
        <v>10</v>
      </c>
      <c r="M633" s="39" t="s">
        <v>79</v>
      </c>
      <c r="S633" s="51" t="str">
        <f t="shared" si="48"/>
        <v>Detractor</v>
      </c>
    </row>
    <row r="634" ht="14.25" customHeight="1" spans="1:19">
      <c r="A634" s="43" t="s">
        <v>676</v>
      </c>
      <c r="B634" s="43" t="s">
        <v>13</v>
      </c>
      <c r="C634" s="43" t="s">
        <v>21</v>
      </c>
      <c r="D634" s="44">
        <v>45951</v>
      </c>
      <c r="E634" s="44">
        <v>45952</v>
      </c>
      <c r="F634" s="44">
        <v>45954</v>
      </c>
      <c r="G634" s="44">
        <v>45956</v>
      </c>
      <c r="H634" s="45" t="str">
        <f t="shared" si="49"/>
        <v>Delivered</v>
      </c>
      <c r="I634" s="48">
        <f t="shared" si="45"/>
        <v>1</v>
      </c>
      <c r="J634" s="48">
        <f t="shared" si="46"/>
        <v>2</v>
      </c>
      <c r="K634" s="48">
        <f t="shared" si="47"/>
        <v>2</v>
      </c>
      <c r="L634" s="39" t="s">
        <v>9</v>
      </c>
      <c r="N634" s="44">
        <v>45982</v>
      </c>
      <c r="O634" s="39">
        <v>1</v>
      </c>
      <c r="P634" s="39">
        <v>2</v>
      </c>
      <c r="Q634" s="39">
        <v>2</v>
      </c>
      <c r="R634" s="39">
        <v>9</v>
      </c>
      <c r="S634" s="51" t="str">
        <f t="shared" si="48"/>
        <v>Promoter</v>
      </c>
    </row>
    <row r="635" ht="14.25" customHeight="1" spans="1:19">
      <c r="A635" s="43" t="s">
        <v>677</v>
      </c>
      <c r="B635" s="43" t="s">
        <v>11</v>
      </c>
      <c r="C635" s="43" t="s">
        <v>22</v>
      </c>
      <c r="D635" s="44">
        <v>45961</v>
      </c>
      <c r="E635" s="44">
        <v>45964</v>
      </c>
      <c r="F635" s="44">
        <v>45966</v>
      </c>
      <c r="G635" s="44">
        <v>45968</v>
      </c>
      <c r="H635" s="45" t="str">
        <f t="shared" si="49"/>
        <v>Delivered</v>
      </c>
      <c r="I635" s="48">
        <f t="shared" si="45"/>
        <v>3</v>
      </c>
      <c r="J635" s="48">
        <f t="shared" si="46"/>
        <v>2</v>
      </c>
      <c r="K635" s="48">
        <f t="shared" si="47"/>
        <v>2</v>
      </c>
      <c r="L635" s="39" t="s">
        <v>9</v>
      </c>
      <c r="N635" s="44">
        <v>45987</v>
      </c>
      <c r="O635" s="39">
        <v>3</v>
      </c>
      <c r="P635" s="39">
        <v>2</v>
      </c>
      <c r="Q635" s="39">
        <v>2</v>
      </c>
      <c r="R635" s="39">
        <v>3</v>
      </c>
      <c r="S635" s="51" t="str">
        <f t="shared" si="48"/>
        <v>Detractor</v>
      </c>
    </row>
    <row r="636" ht="14.25" customHeight="1" spans="1:19">
      <c r="A636" s="43" t="s">
        <v>678</v>
      </c>
      <c r="B636" s="43" t="s">
        <v>14</v>
      </c>
      <c r="C636" s="43" t="s">
        <v>22</v>
      </c>
      <c r="D636" s="44">
        <v>45944</v>
      </c>
      <c r="E636" s="44">
        <v>45947</v>
      </c>
      <c r="F636" s="44">
        <v>45949</v>
      </c>
      <c r="G636" s="44">
        <v>45951</v>
      </c>
      <c r="H636" s="45" t="str">
        <f t="shared" si="49"/>
        <v>Delivered</v>
      </c>
      <c r="I636" s="48">
        <f t="shared" si="45"/>
        <v>3</v>
      </c>
      <c r="J636" s="48">
        <f t="shared" si="46"/>
        <v>2</v>
      </c>
      <c r="K636" s="48">
        <f t="shared" si="47"/>
        <v>2</v>
      </c>
      <c r="L636" s="39" t="s">
        <v>9</v>
      </c>
      <c r="N636" s="44">
        <v>45966</v>
      </c>
      <c r="O636" s="39">
        <v>3</v>
      </c>
      <c r="P636" s="39">
        <v>2</v>
      </c>
      <c r="Q636" s="39">
        <v>2</v>
      </c>
      <c r="R636" s="39">
        <v>5</v>
      </c>
      <c r="S636" s="51" t="str">
        <f t="shared" si="48"/>
        <v>Detractor</v>
      </c>
    </row>
    <row r="637" ht="14.25" customHeight="1" spans="1:19">
      <c r="A637" s="43" t="s">
        <v>679</v>
      </c>
      <c r="B637" s="43" t="s">
        <v>14</v>
      </c>
      <c r="C637" s="43" t="s">
        <v>21</v>
      </c>
      <c r="D637" s="44">
        <v>45953</v>
      </c>
      <c r="E637" s="44">
        <v>45956</v>
      </c>
      <c r="F637" s="44">
        <v>45961</v>
      </c>
      <c r="G637" s="44">
        <v>45964</v>
      </c>
      <c r="H637" s="45" t="str">
        <f t="shared" si="49"/>
        <v>Delivered</v>
      </c>
      <c r="I637" s="48">
        <f t="shared" si="45"/>
        <v>3</v>
      </c>
      <c r="J637" s="48">
        <f t="shared" si="46"/>
        <v>5</v>
      </c>
      <c r="K637" s="48">
        <f t="shared" si="47"/>
        <v>3</v>
      </c>
      <c r="L637" s="39" t="s">
        <v>10</v>
      </c>
      <c r="M637" s="39" t="s">
        <v>117</v>
      </c>
      <c r="O637" s="39">
        <v>3</v>
      </c>
      <c r="P637" s="39">
        <v>5</v>
      </c>
      <c r="Q637" s="39">
        <v>3</v>
      </c>
      <c r="S637" s="51" t="str">
        <f t="shared" si="48"/>
        <v>Detractor</v>
      </c>
    </row>
    <row r="638" ht="14.25" customHeight="1" spans="1:19">
      <c r="A638" s="43" t="s">
        <v>680</v>
      </c>
      <c r="B638" s="43" t="s">
        <v>12</v>
      </c>
      <c r="C638" s="43" t="s">
        <v>22</v>
      </c>
      <c r="D638" s="44">
        <v>45939</v>
      </c>
      <c r="E638" s="44">
        <v>45943</v>
      </c>
      <c r="F638" s="44">
        <v>45948</v>
      </c>
      <c r="G638" s="44">
        <v>45950</v>
      </c>
      <c r="H638" s="45" t="str">
        <f t="shared" si="49"/>
        <v>Delivered</v>
      </c>
      <c r="I638" s="48">
        <f t="shared" si="45"/>
        <v>4</v>
      </c>
      <c r="J638" s="48">
        <f t="shared" si="46"/>
        <v>5</v>
      </c>
      <c r="K638" s="48">
        <f t="shared" si="47"/>
        <v>2</v>
      </c>
      <c r="L638" s="39" t="s">
        <v>9</v>
      </c>
      <c r="N638" s="44">
        <v>45977</v>
      </c>
      <c r="O638" s="39">
        <v>4</v>
      </c>
      <c r="P638" s="39">
        <v>5</v>
      </c>
      <c r="Q638" s="39">
        <v>2</v>
      </c>
      <c r="R638" s="39">
        <v>3</v>
      </c>
      <c r="S638" s="51" t="str">
        <f t="shared" si="48"/>
        <v>Detractor</v>
      </c>
    </row>
    <row r="639" ht="14.25" customHeight="1" spans="1:19">
      <c r="A639" s="43" t="s">
        <v>681</v>
      </c>
      <c r="B639" s="43" t="s">
        <v>11</v>
      </c>
      <c r="C639" s="43" t="s">
        <v>21</v>
      </c>
      <c r="D639" s="44">
        <v>45945</v>
      </c>
      <c r="E639" s="44">
        <v>45950</v>
      </c>
      <c r="F639" s="44">
        <v>45953</v>
      </c>
      <c r="G639" s="44">
        <v>45958</v>
      </c>
      <c r="H639" s="45" t="str">
        <f t="shared" si="49"/>
        <v>Delivered</v>
      </c>
      <c r="I639" s="48">
        <f t="shared" si="45"/>
        <v>5</v>
      </c>
      <c r="J639" s="48">
        <f t="shared" si="46"/>
        <v>3</v>
      </c>
      <c r="K639" s="48">
        <f t="shared" si="47"/>
        <v>5</v>
      </c>
      <c r="L639" s="39" t="s">
        <v>9</v>
      </c>
      <c r="N639" s="44">
        <v>45973</v>
      </c>
      <c r="O639" s="39">
        <v>5</v>
      </c>
      <c r="P639" s="39">
        <v>3</v>
      </c>
      <c r="Q639" s="39">
        <v>5</v>
      </c>
      <c r="R639" s="39">
        <v>2</v>
      </c>
      <c r="S639" s="51" t="str">
        <f t="shared" si="48"/>
        <v>Detractor</v>
      </c>
    </row>
    <row r="640" ht="14.25" customHeight="1" spans="1:19">
      <c r="A640" s="43" t="s">
        <v>682</v>
      </c>
      <c r="B640" s="43" t="s">
        <v>13</v>
      </c>
      <c r="C640" s="43" t="s">
        <v>21</v>
      </c>
      <c r="D640" s="44">
        <v>45958</v>
      </c>
      <c r="E640" s="44">
        <v>45962</v>
      </c>
      <c r="F640" s="44">
        <v>45965</v>
      </c>
      <c r="G640" s="44">
        <v>45969</v>
      </c>
      <c r="H640" s="45" t="str">
        <f t="shared" si="49"/>
        <v>Delivered</v>
      </c>
      <c r="I640" s="48">
        <f t="shared" si="45"/>
        <v>4</v>
      </c>
      <c r="J640" s="48">
        <f t="shared" si="46"/>
        <v>3</v>
      </c>
      <c r="K640" s="48">
        <f t="shared" si="47"/>
        <v>4</v>
      </c>
      <c r="L640" s="39" t="s">
        <v>9</v>
      </c>
      <c r="N640" s="44">
        <v>45988</v>
      </c>
      <c r="O640" s="39">
        <v>4</v>
      </c>
      <c r="P640" s="39">
        <v>3</v>
      </c>
      <c r="Q640" s="39">
        <v>4</v>
      </c>
      <c r="R640" s="39">
        <v>1</v>
      </c>
      <c r="S640" s="51" t="str">
        <f t="shared" si="48"/>
        <v>Detractor</v>
      </c>
    </row>
    <row r="641" ht="14.25" customHeight="1" spans="1:19">
      <c r="A641" s="43" t="s">
        <v>683</v>
      </c>
      <c r="B641" s="43" t="s">
        <v>14</v>
      </c>
      <c r="C641" s="43" t="s">
        <v>22</v>
      </c>
      <c r="D641" s="44">
        <v>45940</v>
      </c>
      <c r="E641" s="44">
        <v>45942</v>
      </c>
      <c r="F641" s="44">
        <v>45945</v>
      </c>
      <c r="G641" s="44">
        <v>45950</v>
      </c>
      <c r="H641" s="45" t="str">
        <f t="shared" si="49"/>
        <v>Delivered</v>
      </c>
      <c r="I641" s="48">
        <f t="shared" si="45"/>
        <v>2</v>
      </c>
      <c r="J641" s="48">
        <f t="shared" si="46"/>
        <v>3</v>
      </c>
      <c r="K641" s="48">
        <f t="shared" si="47"/>
        <v>5</v>
      </c>
      <c r="L641" s="39" t="s">
        <v>9</v>
      </c>
      <c r="N641" s="44">
        <v>45963</v>
      </c>
      <c r="O641" s="39">
        <v>2</v>
      </c>
      <c r="P641" s="39">
        <v>3</v>
      </c>
      <c r="Q641" s="39">
        <v>5</v>
      </c>
      <c r="R641" s="39">
        <v>8</v>
      </c>
      <c r="S641" s="51" t="str">
        <f t="shared" si="48"/>
        <v>Passive</v>
      </c>
    </row>
    <row r="642" ht="14.25" customHeight="1" spans="1:19">
      <c r="A642" s="43" t="s">
        <v>684</v>
      </c>
      <c r="B642" s="43" t="s">
        <v>13</v>
      </c>
      <c r="C642" s="43" t="s">
        <v>20</v>
      </c>
      <c r="D642" s="44">
        <v>45937</v>
      </c>
      <c r="H642" s="45" t="str">
        <f t="shared" si="49"/>
        <v>Cancelled</v>
      </c>
      <c r="I642" s="48">
        <f t="shared" si="45"/>
        <v>0</v>
      </c>
      <c r="J642" s="48">
        <f t="shared" si="46"/>
        <v>0</v>
      </c>
      <c r="K642" s="48">
        <f t="shared" si="47"/>
        <v>0</v>
      </c>
      <c r="L642" s="39" t="s">
        <v>10</v>
      </c>
      <c r="M642" s="39" t="s">
        <v>44</v>
      </c>
      <c r="S642" s="51" t="str">
        <f t="shared" si="48"/>
        <v>Detractor</v>
      </c>
    </row>
    <row r="643" ht="14.25" customHeight="1" spans="1:19">
      <c r="A643" s="43" t="s">
        <v>685</v>
      </c>
      <c r="B643" s="43" t="s">
        <v>13</v>
      </c>
      <c r="C643" s="43" t="s">
        <v>22</v>
      </c>
      <c r="D643" s="44">
        <v>45943</v>
      </c>
      <c r="E643" s="44">
        <v>45947</v>
      </c>
      <c r="F643" s="44">
        <v>45951</v>
      </c>
      <c r="G643" s="44">
        <v>45954</v>
      </c>
      <c r="H643" s="45" t="str">
        <f t="shared" si="49"/>
        <v>Delivered</v>
      </c>
      <c r="I643" s="48">
        <f t="shared" ref="I643:I706" si="50">IF(E643&gt;D643,E643-D643,0)</f>
        <v>4</v>
      </c>
      <c r="J643" s="48">
        <f t="shared" ref="J643:J706" si="51">IF(F643&gt;E643,F643-E643,0)</f>
        <v>4</v>
      </c>
      <c r="K643" s="48">
        <f t="shared" ref="K643:K706" si="52">IF(G643&gt;F643,G643-F643,0)</f>
        <v>3</v>
      </c>
      <c r="L643" s="39" t="s">
        <v>9</v>
      </c>
      <c r="N643" s="44">
        <v>45979</v>
      </c>
      <c r="O643" s="39">
        <v>4</v>
      </c>
      <c r="P643" s="39">
        <v>4</v>
      </c>
      <c r="Q643" s="39">
        <v>3</v>
      </c>
      <c r="R643" s="39">
        <v>9</v>
      </c>
      <c r="S643" s="51" t="str">
        <f t="shared" ref="S643:S706" si="53">IF(R643&gt;=9,"Promoter",IF(R643&gt;=7,"Passive","Detractor"))</f>
        <v>Promoter</v>
      </c>
    </row>
    <row r="644" ht="14.25" customHeight="1" spans="1:19">
      <c r="A644" s="43" t="s">
        <v>686</v>
      </c>
      <c r="B644" s="43" t="s">
        <v>14</v>
      </c>
      <c r="C644" s="43" t="s">
        <v>22</v>
      </c>
      <c r="D644" s="44">
        <v>45958</v>
      </c>
      <c r="E644" s="44">
        <v>45961</v>
      </c>
      <c r="F644" s="44">
        <v>45962</v>
      </c>
      <c r="G644" s="44">
        <v>45965</v>
      </c>
      <c r="H644" s="45" t="str">
        <f t="shared" si="49"/>
        <v>Delivered</v>
      </c>
      <c r="I644" s="48">
        <f t="shared" si="50"/>
        <v>3</v>
      </c>
      <c r="J644" s="48">
        <f t="shared" si="51"/>
        <v>1</v>
      </c>
      <c r="K644" s="48">
        <f t="shared" si="52"/>
        <v>3</v>
      </c>
      <c r="L644" s="39" t="s">
        <v>9</v>
      </c>
      <c r="N644" s="44">
        <v>45979</v>
      </c>
      <c r="O644" s="39">
        <v>3</v>
      </c>
      <c r="P644" s="39">
        <v>1</v>
      </c>
      <c r="Q644" s="39">
        <v>3</v>
      </c>
      <c r="R644" s="39">
        <v>4</v>
      </c>
      <c r="S644" s="51" t="str">
        <f t="shared" si="53"/>
        <v>Detractor</v>
      </c>
    </row>
    <row r="645" ht="14.25" customHeight="1" spans="1:19">
      <c r="A645" s="43" t="s">
        <v>687</v>
      </c>
      <c r="B645" s="43" t="s">
        <v>13</v>
      </c>
      <c r="C645" s="43" t="s">
        <v>21</v>
      </c>
      <c r="D645" s="44">
        <v>45946</v>
      </c>
      <c r="E645" s="44">
        <v>45950</v>
      </c>
      <c r="F645" s="44">
        <v>45953</v>
      </c>
      <c r="G645" s="44">
        <v>45955</v>
      </c>
      <c r="H645" s="45" t="str">
        <f t="shared" ref="H645:H708" si="54">IF(G645&lt;&gt;"","Delivered",IF(F645&lt;&gt;"","Booked",IF(E645&lt;&gt;"","Pre-Booked",IF(D645&lt;&gt;"","Cancelled",""))))</f>
        <v>Delivered</v>
      </c>
      <c r="I645" s="48">
        <f t="shared" si="50"/>
        <v>4</v>
      </c>
      <c r="J645" s="48">
        <f t="shared" si="51"/>
        <v>3</v>
      </c>
      <c r="K645" s="48">
        <f t="shared" si="52"/>
        <v>2</v>
      </c>
      <c r="L645" s="39" t="s">
        <v>9</v>
      </c>
      <c r="N645" s="44">
        <v>45973</v>
      </c>
      <c r="O645" s="39">
        <v>4</v>
      </c>
      <c r="P645" s="39">
        <v>3</v>
      </c>
      <c r="Q645" s="39">
        <v>2</v>
      </c>
      <c r="R645" s="39">
        <v>4</v>
      </c>
      <c r="S645" s="51" t="str">
        <f t="shared" si="53"/>
        <v>Detractor</v>
      </c>
    </row>
    <row r="646" ht="14.25" customHeight="1" spans="1:19">
      <c r="A646" s="43" t="s">
        <v>688</v>
      </c>
      <c r="B646" s="43" t="s">
        <v>14</v>
      </c>
      <c r="C646" s="43" t="s">
        <v>21</v>
      </c>
      <c r="D646" s="44">
        <v>45934</v>
      </c>
      <c r="E646" s="44">
        <v>45935</v>
      </c>
      <c r="F646" s="44">
        <v>45939</v>
      </c>
      <c r="G646" s="44">
        <v>45945</v>
      </c>
      <c r="H646" s="45" t="str">
        <f t="shared" si="54"/>
        <v>Delivered</v>
      </c>
      <c r="I646" s="48">
        <f t="shared" si="50"/>
        <v>1</v>
      </c>
      <c r="J646" s="48">
        <f t="shared" si="51"/>
        <v>4</v>
      </c>
      <c r="K646" s="48">
        <f t="shared" si="52"/>
        <v>6</v>
      </c>
      <c r="L646" s="39" t="s">
        <v>9</v>
      </c>
      <c r="N646" s="44">
        <v>45972</v>
      </c>
      <c r="O646" s="39">
        <v>1</v>
      </c>
      <c r="P646" s="39">
        <v>4</v>
      </c>
      <c r="Q646" s="39">
        <v>6</v>
      </c>
      <c r="R646" s="39">
        <v>1</v>
      </c>
      <c r="S646" s="51" t="str">
        <f t="shared" si="53"/>
        <v>Detractor</v>
      </c>
    </row>
    <row r="647" ht="14.25" customHeight="1" spans="1:19">
      <c r="A647" s="43" t="s">
        <v>689</v>
      </c>
      <c r="B647" s="43" t="s">
        <v>13</v>
      </c>
      <c r="C647" s="43" t="s">
        <v>21</v>
      </c>
      <c r="D647" s="44">
        <v>45938</v>
      </c>
      <c r="E647" s="44">
        <v>45941</v>
      </c>
      <c r="F647" s="44">
        <v>45945</v>
      </c>
      <c r="G647" s="44">
        <v>45952</v>
      </c>
      <c r="H647" s="45" t="str">
        <f t="shared" si="54"/>
        <v>Delivered</v>
      </c>
      <c r="I647" s="48">
        <f t="shared" si="50"/>
        <v>3</v>
      </c>
      <c r="J647" s="48">
        <f t="shared" si="51"/>
        <v>4</v>
      </c>
      <c r="K647" s="48">
        <f t="shared" si="52"/>
        <v>7</v>
      </c>
      <c r="L647" s="39" t="s">
        <v>9</v>
      </c>
      <c r="N647" s="44">
        <v>45967</v>
      </c>
      <c r="O647" s="39">
        <v>3</v>
      </c>
      <c r="P647" s="39">
        <v>4</v>
      </c>
      <c r="Q647" s="39">
        <v>7</v>
      </c>
      <c r="R647" s="39">
        <v>0</v>
      </c>
      <c r="S647" s="51" t="str">
        <f t="shared" si="53"/>
        <v>Detractor</v>
      </c>
    </row>
    <row r="648" ht="14.25" customHeight="1" spans="1:19">
      <c r="A648" s="43" t="s">
        <v>690</v>
      </c>
      <c r="B648" s="43" t="s">
        <v>14</v>
      </c>
      <c r="C648" s="43" t="s">
        <v>21</v>
      </c>
      <c r="D648" s="44">
        <v>45943</v>
      </c>
      <c r="E648" s="44">
        <v>45948</v>
      </c>
      <c r="F648" s="44">
        <v>45953</v>
      </c>
      <c r="G648" s="44">
        <v>45960</v>
      </c>
      <c r="H648" s="45" t="str">
        <f t="shared" si="54"/>
        <v>Delivered</v>
      </c>
      <c r="I648" s="48">
        <f t="shared" si="50"/>
        <v>5</v>
      </c>
      <c r="J648" s="48">
        <f t="shared" si="51"/>
        <v>5</v>
      </c>
      <c r="K648" s="48">
        <f t="shared" si="52"/>
        <v>7</v>
      </c>
      <c r="L648" s="39" t="s">
        <v>9</v>
      </c>
      <c r="N648" s="44">
        <v>45980</v>
      </c>
      <c r="O648" s="39">
        <v>5</v>
      </c>
      <c r="P648" s="39">
        <v>5</v>
      </c>
      <c r="Q648" s="39">
        <v>7</v>
      </c>
      <c r="R648" s="39">
        <v>6</v>
      </c>
      <c r="S648" s="51" t="str">
        <f t="shared" si="53"/>
        <v>Detractor</v>
      </c>
    </row>
    <row r="649" ht="14.25" customHeight="1" spans="1:19">
      <c r="A649" s="43" t="s">
        <v>691</v>
      </c>
      <c r="B649" s="43" t="s">
        <v>11</v>
      </c>
      <c r="C649" s="43" t="s">
        <v>22</v>
      </c>
      <c r="D649" s="44">
        <v>45949</v>
      </c>
      <c r="E649" s="44">
        <v>45953</v>
      </c>
      <c r="F649" s="44">
        <v>45955</v>
      </c>
      <c r="G649" s="44">
        <v>45962</v>
      </c>
      <c r="H649" s="45" t="str">
        <f t="shared" si="54"/>
        <v>Delivered</v>
      </c>
      <c r="I649" s="48">
        <f t="shared" si="50"/>
        <v>4</v>
      </c>
      <c r="J649" s="48">
        <f t="shared" si="51"/>
        <v>2</v>
      </c>
      <c r="K649" s="48">
        <f t="shared" si="52"/>
        <v>7</v>
      </c>
      <c r="L649" s="39" t="s">
        <v>9</v>
      </c>
      <c r="N649" s="44">
        <v>45992</v>
      </c>
      <c r="O649" s="39">
        <v>4</v>
      </c>
      <c r="P649" s="39">
        <v>2</v>
      </c>
      <c r="Q649" s="39">
        <v>7</v>
      </c>
      <c r="R649" s="39">
        <v>5</v>
      </c>
      <c r="S649" s="51" t="str">
        <f t="shared" si="53"/>
        <v>Detractor</v>
      </c>
    </row>
    <row r="650" ht="14.25" customHeight="1" spans="1:19">
      <c r="A650" s="43" t="s">
        <v>692</v>
      </c>
      <c r="B650" s="43" t="s">
        <v>12</v>
      </c>
      <c r="C650" s="43" t="s">
        <v>22</v>
      </c>
      <c r="D650" s="44">
        <v>45942</v>
      </c>
      <c r="E650" s="44">
        <v>45945</v>
      </c>
      <c r="F650" s="44">
        <v>45947</v>
      </c>
      <c r="G650" s="44">
        <v>45952</v>
      </c>
      <c r="H650" s="45" t="str">
        <f t="shared" si="54"/>
        <v>Delivered</v>
      </c>
      <c r="I650" s="48">
        <f t="shared" si="50"/>
        <v>3</v>
      </c>
      <c r="J650" s="48">
        <f t="shared" si="51"/>
        <v>2</v>
      </c>
      <c r="K650" s="48">
        <f t="shared" si="52"/>
        <v>5</v>
      </c>
      <c r="L650" s="39" t="s">
        <v>9</v>
      </c>
      <c r="N650" s="44">
        <v>45964</v>
      </c>
      <c r="O650" s="39">
        <v>3</v>
      </c>
      <c r="P650" s="39">
        <v>2</v>
      </c>
      <c r="Q650" s="39">
        <v>5</v>
      </c>
      <c r="R650" s="39">
        <v>0</v>
      </c>
      <c r="S650" s="51" t="str">
        <f t="shared" si="53"/>
        <v>Detractor</v>
      </c>
    </row>
    <row r="651" ht="14.25" customHeight="1" spans="1:19">
      <c r="A651" s="43" t="s">
        <v>693</v>
      </c>
      <c r="B651" s="43" t="s">
        <v>14</v>
      </c>
      <c r="C651" s="43" t="s">
        <v>22</v>
      </c>
      <c r="D651" s="44">
        <v>45949</v>
      </c>
      <c r="E651" s="44">
        <v>45950</v>
      </c>
      <c r="F651" s="44">
        <v>45953</v>
      </c>
      <c r="G651" s="44">
        <v>45956</v>
      </c>
      <c r="H651" s="45" t="str">
        <f t="shared" si="54"/>
        <v>Delivered</v>
      </c>
      <c r="I651" s="48">
        <f t="shared" si="50"/>
        <v>1</v>
      </c>
      <c r="J651" s="48">
        <f t="shared" si="51"/>
        <v>3</v>
      </c>
      <c r="K651" s="48">
        <f t="shared" si="52"/>
        <v>3</v>
      </c>
      <c r="L651" s="39" t="s">
        <v>10</v>
      </c>
      <c r="M651" s="39" t="s">
        <v>42</v>
      </c>
      <c r="O651" s="39">
        <v>1</v>
      </c>
      <c r="P651" s="39">
        <v>3</v>
      </c>
      <c r="Q651" s="39">
        <v>3</v>
      </c>
      <c r="S651" s="51" t="str">
        <f t="shared" si="53"/>
        <v>Detractor</v>
      </c>
    </row>
    <row r="652" ht="14.25" customHeight="1" spans="1:19">
      <c r="A652" s="43" t="s">
        <v>694</v>
      </c>
      <c r="B652" s="43" t="s">
        <v>14</v>
      </c>
      <c r="C652" s="43" t="s">
        <v>21</v>
      </c>
      <c r="D652" s="44">
        <v>45940</v>
      </c>
      <c r="E652" s="44">
        <v>45941</v>
      </c>
      <c r="F652" s="44">
        <v>45942</v>
      </c>
      <c r="G652" s="44">
        <v>45946</v>
      </c>
      <c r="H652" s="45" t="str">
        <f t="shared" si="54"/>
        <v>Delivered</v>
      </c>
      <c r="I652" s="48">
        <f t="shared" si="50"/>
        <v>1</v>
      </c>
      <c r="J652" s="48">
        <f t="shared" si="51"/>
        <v>1</v>
      </c>
      <c r="K652" s="48">
        <f t="shared" si="52"/>
        <v>4</v>
      </c>
      <c r="L652" s="39" t="s">
        <v>10</v>
      </c>
      <c r="M652" s="39" t="s">
        <v>117</v>
      </c>
      <c r="O652" s="39">
        <v>1</v>
      </c>
      <c r="P652" s="39">
        <v>1</v>
      </c>
      <c r="Q652" s="39">
        <v>4</v>
      </c>
      <c r="S652" s="51" t="str">
        <f t="shared" si="53"/>
        <v>Detractor</v>
      </c>
    </row>
    <row r="653" ht="14.25" customHeight="1" spans="1:19">
      <c r="A653" s="43" t="s">
        <v>695</v>
      </c>
      <c r="B653" s="43" t="s">
        <v>12</v>
      </c>
      <c r="C653" s="43" t="s">
        <v>22</v>
      </c>
      <c r="D653" s="44">
        <v>45953</v>
      </c>
      <c r="E653" s="44">
        <v>45957</v>
      </c>
      <c r="F653" s="44">
        <v>45958</v>
      </c>
      <c r="G653" s="44">
        <v>45961</v>
      </c>
      <c r="H653" s="45" t="str">
        <f t="shared" si="54"/>
        <v>Delivered</v>
      </c>
      <c r="I653" s="48">
        <f t="shared" si="50"/>
        <v>4</v>
      </c>
      <c r="J653" s="48">
        <f t="shared" si="51"/>
        <v>1</v>
      </c>
      <c r="K653" s="48">
        <f t="shared" si="52"/>
        <v>3</v>
      </c>
      <c r="L653" s="39" t="s">
        <v>10</v>
      </c>
      <c r="M653" s="39" t="s">
        <v>117</v>
      </c>
      <c r="O653" s="39">
        <v>4</v>
      </c>
      <c r="P653" s="39">
        <v>1</v>
      </c>
      <c r="Q653" s="39">
        <v>3</v>
      </c>
      <c r="S653" s="51" t="str">
        <f t="shared" si="53"/>
        <v>Detractor</v>
      </c>
    </row>
    <row r="654" ht="14.25" customHeight="1" spans="1:19">
      <c r="A654" s="43" t="s">
        <v>696</v>
      </c>
      <c r="B654" s="43" t="s">
        <v>14</v>
      </c>
      <c r="C654" s="43" t="s">
        <v>20</v>
      </c>
      <c r="D654" s="44">
        <v>45940</v>
      </c>
      <c r="H654" s="45" t="str">
        <f t="shared" si="54"/>
        <v>Cancelled</v>
      </c>
      <c r="I654" s="48">
        <f t="shared" si="50"/>
        <v>0</v>
      </c>
      <c r="J654" s="48">
        <f t="shared" si="51"/>
        <v>0</v>
      </c>
      <c r="K654" s="48">
        <f t="shared" si="52"/>
        <v>0</v>
      </c>
      <c r="L654" s="39" t="s">
        <v>10</v>
      </c>
      <c r="M654" s="39" t="s">
        <v>44</v>
      </c>
      <c r="S654" s="51" t="str">
        <f t="shared" si="53"/>
        <v>Detractor</v>
      </c>
    </row>
    <row r="655" ht="14.25" customHeight="1" spans="1:19">
      <c r="A655" s="43" t="s">
        <v>697</v>
      </c>
      <c r="B655" s="43" t="s">
        <v>14</v>
      </c>
      <c r="C655" s="43" t="s">
        <v>21</v>
      </c>
      <c r="D655" s="44">
        <v>45931</v>
      </c>
      <c r="E655" s="44">
        <v>45934</v>
      </c>
      <c r="F655" s="44">
        <v>45935</v>
      </c>
      <c r="G655" s="44">
        <v>45940</v>
      </c>
      <c r="H655" s="45" t="str">
        <f t="shared" si="54"/>
        <v>Delivered</v>
      </c>
      <c r="I655" s="48">
        <f t="shared" si="50"/>
        <v>3</v>
      </c>
      <c r="J655" s="48">
        <f t="shared" si="51"/>
        <v>1</v>
      </c>
      <c r="K655" s="48">
        <f t="shared" si="52"/>
        <v>5</v>
      </c>
      <c r="L655" s="39" t="s">
        <v>9</v>
      </c>
      <c r="N655" s="44">
        <v>45957</v>
      </c>
      <c r="O655" s="39">
        <v>3</v>
      </c>
      <c r="P655" s="39">
        <v>1</v>
      </c>
      <c r="Q655" s="39">
        <v>5</v>
      </c>
      <c r="R655" s="39">
        <v>3</v>
      </c>
      <c r="S655" s="51" t="str">
        <f t="shared" si="53"/>
        <v>Detractor</v>
      </c>
    </row>
    <row r="656" ht="14.25" customHeight="1" spans="1:19">
      <c r="A656" s="43" t="s">
        <v>698</v>
      </c>
      <c r="B656" s="43" t="s">
        <v>13</v>
      </c>
      <c r="C656" s="43" t="s">
        <v>20</v>
      </c>
      <c r="D656" s="44">
        <v>45957</v>
      </c>
      <c r="H656" s="45" t="str">
        <f t="shared" si="54"/>
        <v>Cancelled</v>
      </c>
      <c r="I656" s="48">
        <f t="shared" si="50"/>
        <v>0</v>
      </c>
      <c r="J656" s="48">
        <f t="shared" si="51"/>
        <v>0</v>
      </c>
      <c r="K656" s="48">
        <f t="shared" si="52"/>
        <v>0</v>
      </c>
      <c r="L656" s="39" t="s">
        <v>10</v>
      </c>
      <c r="M656" s="39" t="s">
        <v>79</v>
      </c>
      <c r="S656" s="51" t="str">
        <f t="shared" si="53"/>
        <v>Detractor</v>
      </c>
    </row>
    <row r="657" ht="14.25" customHeight="1" spans="1:19">
      <c r="A657" s="43" t="s">
        <v>699</v>
      </c>
      <c r="B657" s="43" t="s">
        <v>12</v>
      </c>
      <c r="C657" s="43" t="s">
        <v>20</v>
      </c>
      <c r="D657" s="44">
        <v>45952</v>
      </c>
      <c r="H657" s="45" t="str">
        <f t="shared" si="54"/>
        <v>Cancelled</v>
      </c>
      <c r="I657" s="48">
        <f t="shared" si="50"/>
        <v>0</v>
      </c>
      <c r="J657" s="48">
        <f t="shared" si="51"/>
        <v>0</v>
      </c>
      <c r="K657" s="48">
        <f t="shared" si="52"/>
        <v>0</v>
      </c>
      <c r="L657" s="39" t="s">
        <v>10</v>
      </c>
      <c r="M657" s="39" t="s">
        <v>117</v>
      </c>
      <c r="S657" s="51" t="str">
        <f t="shared" si="53"/>
        <v>Detractor</v>
      </c>
    </row>
    <row r="658" ht="14.25" customHeight="1" spans="1:19">
      <c r="A658" s="43" t="s">
        <v>700</v>
      </c>
      <c r="B658" s="43" t="s">
        <v>11</v>
      </c>
      <c r="C658" s="43" t="s">
        <v>21</v>
      </c>
      <c r="D658" s="44">
        <v>45943</v>
      </c>
      <c r="E658" s="44">
        <v>45948</v>
      </c>
      <c r="F658" s="44">
        <v>45952</v>
      </c>
      <c r="G658" s="44">
        <v>45959</v>
      </c>
      <c r="H658" s="45" t="str">
        <f t="shared" si="54"/>
        <v>Delivered</v>
      </c>
      <c r="I658" s="48">
        <f t="shared" si="50"/>
        <v>5</v>
      </c>
      <c r="J658" s="48">
        <f t="shared" si="51"/>
        <v>4</v>
      </c>
      <c r="K658" s="48">
        <f t="shared" si="52"/>
        <v>7</v>
      </c>
      <c r="L658" s="39" t="s">
        <v>9</v>
      </c>
      <c r="N658" s="44">
        <v>45980</v>
      </c>
      <c r="O658" s="39">
        <v>5</v>
      </c>
      <c r="P658" s="39">
        <v>4</v>
      </c>
      <c r="Q658" s="39">
        <v>7</v>
      </c>
      <c r="R658" s="39">
        <v>2</v>
      </c>
      <c r="S658" s="51" t="str">
        <f t="shared" si="53"/>
        <v>Detractor</v>
      </c>
    </row>
    <row r="659" ht="14.25" customHeight="1" spans="1:19">
      <c r="A659" s="43" t="s">
        <v>701</v>
      </c>
      <c r="B659" s="43" t="s">
        <v>14</v>
      </c>
      <c r="C659" s="43" t="s">
        <v>22</v>
      </c>
      <c r="D659" s="44">
        <v>45939</v>
      </c>
      <c r="E659" s="44">
        <v>45941</v>
      </c>
      <c r="F659" s="44">
        <v>45945</v>
      </c>
      <c r="G659" s="44">
        <v>45949</v>
      </c>
      <c r="H659" s="45" t="str">
        <f t="shared" si="54"/>
        <v>Delivered</v>
      </c>
      <c r="I659" s="48">
        <f t="shared" si="50"/>
        <v>2</v>
      </c>
      <c r="J659" s="48">
        <f t="shared" si="51"/>
        <v>4</v>
      </c>
      <c r="K659" s="48">
        <f t="shared" si="52"/>
        <v>4</v>
      </c>
      <c r="L659" s="39" t="s">
        <v>10</v>
      </c>
      <c r="M659" s="39" t="s">
        <v>42</v>
      </c>
      <c r="O659" s="39">
        <v>2</v>
      </c>
      <c r="P659" s="39">
        <v>4</v>
      </c>
      <c r="Q659" s="39">
        <v>4</v>
      </c>
      <c r="S659" s="51" t="str">
        <f t="shared" si="53"/>
        <v>Detractor</v>
      </c>
    </row>
    <row r="660" ht="14.25" customHeight="1" spans="1:19">
      <c r="A660" s="43" t="s">
        <v>702</v>
      </c>
      <c r="B660" s="43" t="s">
        <v>12</v>
      </c>
      <c r="C660" s="43" t="s">
        <v>22</v>
      </c>
      <c r="D660" s="44">
        <v>45931</v>
      </c>
      <c r="E660" s="44">
        <v>45932</v>
      </c>
      <c r="F660" s="44">
        <v>45936</v>
      </c>
      <c r="G660" s="44">
        <v>45940</v>
      </c>
      <c r="H660" s="45" t="str">
        <f t="shared" si="54"/>
        <v>Delivered</v>
      </c>
      <c r="I660" s="48">
        <f t="shared" si="50"/>
        <v>1</v>
      </c>
      <c r="J660" s="48">
        <f t="shared" si="51"/>
        <v>4</v>
      </c>
      <c r="K660" s="48">
        <f t="shared" si="52"/>
        <v>4</v>
      </c>
      <c r="L660" s="39" t="s">
        <v>10</v>
      </c>
      <c r="M660" s="39" t="s">
        <v>117</v>
      </c>
      <c r="O660" s="39">
        <v>1</v>
      </c>
      <c r="P660" s="39">
        <v>4</v>
      </c>
      <c r="Q660" s="39">
        <v>4</v>
      </c>
      <c r="S660" s="51" t="str">
        <f t="shared" si="53"/>
        <v>Detractor</v>
      </c>
    </row>
    <row r="661" ht="14.25" customHeight="1" spans="1:19">
      <c r="A661" s="43" t="s">
        <v>703</v>
      </c>
      <c r="B661" s="43" t="s">
        <v>13</v>
      </c>
      <c r="C661" s="43" t="s">
        <v>22</v>
      </c>
      <c r="D661" s="44">
        <v>45949</v>
      </c>
      <c r="E661" s="44">
        <v>45951</v>
      </c>
      <c r="F661" s="44">
        <v>45956</v>
      </c>
      <c r="G661" s="44">
        <v>45958</v>
      </c>
      <c r="H661" s="45" t="str">
        <f t="shared" si="54"/>
        <v>Delivered</v>
      </c>
      <c r="I661" s="48">
        <f t="shared" si="50"/>
        <v>2</v>
      </c>
      <c r="J661" s="48">
        <f t="shared" si="51"/>
        <v>5</v>
      </c>
      <c r="K661" s="48">
        <f t="shared" si="52"/>
        <v>2</v>
      </c>
      <c r="L661" s="39" t="s">
        <v>9</v>
      </c>
      <c r="N661" s="44">
        <v>45975</v>
      </c>
      <c r="O661" s="39">
        <v>2</v>
      </c>
      <c r="P661" s="39">
        <v>5</v>
      </c>
      <c r="Q661" s="39">
        <v>2</v>
      </c>
      <c r="R661" s="39">
        <v>2</v>
      </c>
      <c r="S661" s="51" t="str">
        <f t="shared" si="53"/>
        <v>Detractor</v>
      </c>
    </row>
    <row r="662" ht="14.25" customHeight="1" spans="1:19">
      <c r="A662" s="43" t="s">
        <v>704</v>
      </c>
      <c r="B662" s="43" t="s">
        <v>11</v>
      </c>
      <c r="C662" s="43" t="s">
        <v>22</v>
      </c>
      <c r="D662" s="44">
        <v>45958</v>
      </c>
      <c r="E662" s="44">
        <v>45963</v>
      </c>
      <c r="F662" s="44">
        <v>45967</v>
      </c>
      <c r="G662" s="44">
        <v>45973</v>
      </c>
      <c r="H662" s="45" t="str">
        <f t="shared" si="54"/>
        <v>Delivered</v>
      </c>
      <c r="I662" s="48">
        <f t="shared" si="50"/>
        <v>5</v>
      </c>
      <c r="J662" s="48">
        <f t="shared" si="51"/>
        <v>4</v>
      </c>
      <c r="K662" s="48">
        <f t="shared" si="52"/>
        <v>6</v>
      </c>
      <c r="L662" s="39" t="s">
        <v>9</v>
      </c>
      <c r="N662" s="44">
        <v>45992</v>
      </c>
      <c r="O662" s="39">
        <v>5</v>
      </c>
      <c r="P662" s="39">
        <v>4</v>
      </c>
      <c r="Q662" s="39">
        <v>6</v>
      </c>
      <c r="R662" s="39">
        <v>1</v>
      </c>
      <c r="S662" s="51" t="str">
        <f t="shared" si="53"/>
        <v>Detractor</v>
      </c>
    </row>
    <row r="663" ht="14.25" customHeight="1" spans="1:19">
      <c r="A663" s="43" t="s">
        <v>705</v>
      </c>
      <c r="B663" s="43" t="s">
        <v>12</v>
      </c>
      <c r="C663" s="43" t="s">
        <v>22</v>
      </c>
      <c r="D663" s="44">
        <v>45952</v>
      </c>
      <c r="E663" s="44">
        <v>45956</v>
      </c>
      <c r="F663" s="44">
        <v>45957</v>
      </c>
      <c r="G663" s="44">
        <v>45961</v>
      </c>
      <c r="H663" s="45" t="str">
        <f t="shared" si="54"/>
        <v>Delivered</v>
      </c>
      <c r="I663" s="48">
        <f t="shared" si="50"/>
        <v>4</v>
      </c>
      <c r="J663" s="48">
        <f t="shared" si="51"/>
        <v>1</v>
      </c>
      <c r="K663" s="48">
        <f t="shared" si="52"/>
        <v>4</v>
      </c>
      <c r="L663" s="39" t="s">
        <v>9</v>
      </c>
      <c r="N663" s="44">
        <v>45984</v>
      </c>
      <c r="O663" s="39">
        <v>4</v>
      </c>
      <c r="P663" s="39">
        <v>1</v>
      </c>
      <c r="Q663" s="39">
        <v>4</v>
      </c>
      <c r="R663" s="39">
        <v>9</v>
      </c>
      <c r="S663" s="51" t="str">
        <f t="shared" si="53"/>
        <v>Promoter</v>
      </c>
    </row>
    <row r="664" ht="14.25" customHeight="1" spans="1:19">
      <c r="A664" s="43" t="s">
        <v>706</v>
      </c>
      <c r="B664" s="43" t="s">
        <v>11</v>
      </c>
      <c r="C664" s="43" t="s">
        <v>22</v>
      </c>
      <c r="D664" s="44">
        <v>45955</v>
      </c>
      <c r="E664" s="44">
        <v>45956</v>
      </c>
      <c r="F664" s="44">
        <v>45957</v>
      </c>
      <c r="G664" s="44">
        <v>45959</v>
      </c>
      <c r="H664" s="45" t="str">
        <f t="shared" si="54"/>
        <v>Delivered</v>
      </c>
      <c r="I664" s="48">
        <f t="shared" si="50"/>
        <v>1</v>
      </c>
      <c r="J664" s="48">
        <f t="shared" si="51"/>
        <v>1</v>
      </c>
      <c r="K664" s="48">
        <f t="shared" si="52"/>
        <v>2</v>
      </c>
      <c r="L664" s="39" t="s">
        <v>9</v>
      </c>
      <c r="N664" s="44">
        <v>45979</v>
      </c>
      <c r="O664" s="39">
        <v>1</v>
      </c>
      <c r="P664" s="39">
        <v>1</v>
      </c>
      <c r="Q664" s="39">
        <v>2</v>
      </c>
      <c r="R664" s="39">
        <v>5</v>
      </c>
      <c r="S664" s="51" t="str">
        <f t="shared" si="53"/>
        <v>Detractor</v>
      </c>
    </row>
    <row r="665" ht="14.25" customHeight="1" spans="1:19">
      <c r="A665" s="43" t="s">
        <v>707</v>
      </c>
      <c r="B665" s="43" t="s">
        <v>11</v>
      </c>
      <c r="C665" s="43" t="s">
        <v>22</v>
      </c>
      <c r="D665" s="44">
        <v>45954</v>
      </c>
      <c r="E665" s="44">
        <v>45956</v>
      </c>
      <c r="F665" s="44">
        <v>45958</v>
      </c>
      <c r="G665" s="44">
        <v>45964</v>
      </c>
      <c r="H665" s="45" t="str">
        <f t="shared" si="54"/>
        <v>Delivered</v>
      </c>
      <c r="I665" s="48">
        <f t="shared" si="50"/>
        <v>2</v>
      </c>
      <c r="J665" s="48">
        <f t="shared" si="51"/>
        <v>2</v>
      </c>
      <c r="K665" s="48">
        <f t="shared" si="52"/>
        <v>6</v>
      </c>
      <c r="L665" s="39" t="s">
        <v>9</v>
      </c>
      <c r="N665" s="44">
        <v>45985</v>
      </c>
      <c r="O665" s="39">
        <v>2</v>
      </c>
      <c r="P665" s="39">
        <v>2</v>
      </c>
      <c r="Q665" s="39">
        <v>6</v>
      </c>
      <c r="R665" s="39">
        <v>4</v>
      </c>
      <c r="S665" s="51" t="str">
        <f t="shared" si="53"/>
        <v>Detractor</v>
      </c>
    </row>
    <row r="666" ht="14.25" customHeight="1" spans="1:19">
      <c r="A666" s="43" t="s">
        <v>708</v>
      </c>
      <c r="B666" s="43" t="s">
        <v>11</v>
      </c>
      <c r="C666" s="43" t="s">
        <v>22</v>
      </c>
      <c r="D666" s="44">
        <v>45932</v>
      </c>
      <c r="E666" s="44">
        <v>45933</v>
      </c>
      <c r="F666" s="44">
        <v>45934</v>
      </c>
      <c r="G666" s="44">
        <v>45941</v>
      </c>
      <c r="H666" s="45" t="str">
        <f t="shared" si="54"/>
        <v>Delivered</v>
      </c>
      <c r="I666" s="48">
        <f t="shared" si="50"/>
        <v>1</v>
      </c>
      <c r="J666" s="48">
        <f t="shared" si="51"/>
        <v>1</v>
      </c>
      <c r="K666" s="48">
        <f t="shared" si="52"/>
        <v>7</v>
      </c>
      <c r="L666" s="39" t="s">
        <v>9</v>
      </c>
      <c r="N666" s="44">
        <v>45959</v>
      </c>
      <c r="O666" s="39">
        <v>1</v>
      </c>
      <c r="P666" s="39">
        <v>1</v>
      </c>
      <c r="Q666" s="39">
        <v>7</v>
      </c>
      <c r="R666" s="39">
        <v>9</v>
      </c>
      <c r="S666" s="51" t="str">
        <f t="shared" si="53"/>
        <v>Promoter</v>
      </c>
    </row>
    <row r="667" ht="14.25" customHeight="1" spans="1:19">
      <c r="A667" s="43" t="s">
        <v>709</v>
      </c>
      <c r="B667" s="43" t="s">
        <v>14</v>
      </c>
      <c r="C667" s="43" t="s">
        <v>22</v>
      </c>
      <c r="D667" s="44">
        <v>45960</v>
      </c>
      <c r="E667" s="44">
        <v>45962</v>
      </c>
      <c r="F667" s="44">
        <v>45966</v>
      </c>
      <c r="G667" s="44">
        <v>45968</v>
      </c>
      <c r="H667" s="45" t="str">
        <f t="shared" si="54"/>
        <v>Delivered</v>
      </c>
      <c r="I667" s="48">
        <f t="shared" si="50"/>
        <v>2</v>
      </c>
      <c r="J667" s="48">
        <f t="shared" si="51"/>
        <v>4</v>
      </c>
      <c r="K667" s="48">
        <f t="shared" si="52"/>
        <v>2</v>
      </c>
      <c r="L667" s="39" t="s">
        <v>9</v>
      </c>
      <c r="N667" s="44">
        <v>45996</v>
      </c>
      <c r="O667" s="39">
        <v>2</v>
      </c>
      <c r="P667" s="39">
        <v>4</v>
      </c>
      <c r="Q667" s="39">
        <v>2</v>
      </c>
      <c r="R667" s="39">
        <v>2</v>
      </c>
      <c r="S667" s="51" t="str">
        <f t="shared" si="53"/>
        <v>Detractor</v>
      </c>
    </row>
    <row r="668" ht="14.25" customHeight="1" spans="1:19">
      <c r="A668" s="43" t="s">
        <v>710</v>
      </c>
      <c r="B668" s="43" t="s">
        <v>14</v>
      </c>
      <c r="C668" s="43" t="s">
        <v>22</v>
      </c>
      <c r="D668" s="44">
        <v>45950</v>
      </c>
      <c r="E668" s="44">
        <v>45953</v>
      </c>
      <c r="F668" s="44">
        <v>45957</v>
      </c>
      <c r="G668" s="44">
        <v>45960</v>
      </c>
      <c r="H668" s="45" t="str">
        <f t="shared" si="54"/>
        <v>Delivered</v>
      </c>
      <c r="I668" s="48">
        <f t="shared" si="50"/>
        <v>3</v>
      </c>
      <c r="J668" s="48">
        <f t="shared" si="51"/>
        <v>4</v>
      </c>
      <c r="K668" s="48">
        <f t="shared" si="52"/>
        <v>3</v>
      </c>
      <c r="L668" s="39" t="s">
        <v>9</v>
      </c>
      <c r="N668" s="44">
        <v>45979</v>
      </c>
      <c r="O668" s="39">
        <v>3</v>
      </c>
      <c r="P668" s="39">
        <v>4</v>
      </c>
      <c r="Q668" s="39">
        <v>3</v>
      </c>
      <c r="R668" s="39">
        <v>7</v>
      </c>
      <c r="S668" s="51" t="str">
        <f t="shared" si="53"/>
        <v>Passive</v>
      </c>
    </row>
    <row r="669" ht="14.25" customHeight="1" spans="1:19">
      <c r="A669" s="43" t="s">
        <v>711</v>
      </c>
      <c r="B669" s="43" t="s">
        <v>13</v>
      </c>
      <c r="C669" s="43" t="s">
        <v>22</v>
      </c>
      <c r="D669" s="44">
        <v>45954</v>
      </c>
      <c r="E669" s="44">
        <v>45957</v>
      </c>
      <c r="F669" s="44">
        <v>45960</v>
      </c>
      <c r="G669" s="44">
        <v>45963</v>
      </c>
      <c r="H669" s="45" t="str">
        <f t="shared" si="54"/>
        <v>Delivered</v>
      </c>
      <c r="I669" s="48">
        <f t="shared" si="50"/>
        <v>3</v>
      </c>
      <c r="J669" s="48">
        <f t="shared" si="51"/>
        <v>3</v>
      </c>
      <c r="K669" s="48">
        <f t="shared" si="52"/>
        <v>3</v>
      </c>
      <c r="L669" s="39" t="s">
        <v>9</v>
      </c>
      <c r="N669" s="44">
        <v>45987</v>
      </c>
      <c r="O669" s="39">
        <v>3</v>
      </c>
      <c r="P669" s="39">
        <v>3</v>
      </c>
      <c r="Q669" s="39">
        <v>3</v>
      </c>
      <c r="R669" s="39">
        <v>0</v>
      </c>
      <c r="S669" s="51" t="str">
        <f t="shared" si="53"/>
        <v>Detractor</v>
      </c>
    </row>
    <row r="670" ht="14.25" customHeight="1" spans="1:19">
      <c r="A670" s="43" t="s">
        <v>712</v>
      </c>
      <c r="B670" s="43" t="s">
        <v>13</v>
      </c>
      <c r="C670" s="43" t="s">
        <v>21</v>
      </c>
      <c r="D670" s="44">
        <v>45946</v>
      </c>
      <c r="E670" s="44">
        <v>45950</v>
      </c>
      <c r="F670" s="44">
        <v>45955</v>
      </c>
      <c r="G670" s="44">
        <v>45961</v>
      </c>
      <c r="H670" s="45" t="str">
        <f t="shared" si="54"/>
        <v>Delivered</v>
      </c>
      <c r="I670" s="48">
        <f t="shared" si="50"/>
        <v>4</v>
      </c>
      <c r="J670" s="48">
        <f t="shared" si="51"/>
        <v>5</v>
      </c>
      <c r="K670" s="48">
        <f t="shared" si="52"/>
        <v>6</v>
      </c>
      <c r="L670" s="39" t="s">
        <v>9</v>
      </c>
      <c r="N670" s="44">
        <v>45974</v>
      </c>
      <c r="O670" s="39">
        <v>4</v>
      </c>
      <c r="P670" s="39">
        <v>5</v>
      </c>
      <c r="Q670" s="39">
        <v>6</v>
      </c>
      <c r="R670" s="39">
        <v>2</v>
      </c>
      <c r="S670" s="51" t="str">
        <f t="shared" si="53"/>
        <v>Detractor</v>
      </c>
    </row>
    <row r="671" ht="14.25" customHeight="1" spans="1:19">
      <c r="A671" s="43" t="s">
        <v>713</v>
      </c>
      <c r="B671" s="43" t="s">
        <v>12</v>
      </c>
      <c r="C671" s="43" t="s">
        <v>21</v>
      </c>
      <c r="D671" s="44">
        <v>45957</v>
      </c>
      <c r="E671" s="44">
        <v>45962</v>
      </c>
      <c r="F671" s="44">
        <v>45963</v>
      </c>
      <c r="G671" s="44">
        <v>45965</v>
      </c>
      <c r="H671" s="45" t="str">
        <f t="shared" si="54"/>
        <v>Delivered</v>
      </c>
      <c r="I671" s="48">
        <f t="shared" si="50"/>
        <v>5</v>
      </c>
      <c r="J671" s="48">
        <f t="shared" si="51"/>
        <v>1</v>
      </c>
      <c r="K671" s="48">
        <f t="shared" si="52"/>
        <v>2</v>
      </c>
      <c r="L671" s="39" t="s">
        <v>10</v>
      </c>
      <c r="M671" s="39" t="s">
        <v>42</v>
      </c>
      <c r="O671" s="39">
        <v>5</v>
      </c>
      <c r="P671" s="39">
        <v>1</v>
      </c>
      <c r="Q671" s="39">
        <v>2</v>
      </c>
      <c r="S671" s="51" t="str">
        <f t="shared" si="53"/>
        <v>Detractor</v>
      </c>
    </row>
    <row r="672" ht="14.25" customHeight="1" spans="1:19">
      <c r="A672" s="43" t="s">
        <v>714</v>
      </c>
      <c r="B672" s="43" t="s">
        <v>13</v>
      </c>
      <c r="C672" s="43" t="s">
        <v>20</v>
      </c>
      <c r="D672" s="44">
        <v>45959</v>
      </c>
      <c r="H672" s="45" t="str">
        <f t="shared" si="54"/>
        <v>Cancelled</v>
      </c>
      <c r="I672" s="48">
        <f t="shared" si="50"/>
        <v>0</v>
      </c>
      <c r="J672" s="48">
        <f t="shared" si="51"/>
        <v>0</v>
      </c>
      <c r="K672" s="48">
        <f t="shared" si="52"/>
        <v>0</v>
      </c>
      <c r="L672" s="39" t="s">
        <v>10</v>
      </c>
      <c r="M672" s="39" t="s">
        <v>49</v>
      </c>
      <c r="S672" s="51" t="str">
        <f t="shared" si="53"/>
        <v>Detractor</v>
      </c>
    </row>
    <row r="673" ht="14.25" customHeight="1" spans="1:19">
      <c r="A673" s="43" t="s">
        <v>715</v>
      </c>
      <c r="B673" s="43" t="s">
        <v>11</v>
      </c>
      <c r="C673" s="43" t="s">
        <v>22</v>
      </c>
      <c r="D673" s="44">
        <v>45959</v>
      </c>
      <c r="E673" s="44">
        <v>45960</v>
      </c>
      <c r="F673" s="44">
        <v>45965</v>
      </c>
      <c r="G673" s="44">
        <v>45970</v>
      </c>
      <c r="H673" s="45" t="str">
        <f t="shared" si="54"/>
        <v>Delivered</v>
      </c>
      <c r="I673" s="48">
        <f t="shared" si="50"/>
        <v>1</v>
      </c>
      <c r="J673" s="48">
        <f t="shared" si="51"/>
        <v>5</v>
      </c>
      <c r="K673" s="48">
        <f t="shared" si="52"/>
        <v>5</v>
      </c>
      <c r="L673" s="39" t="s">
        <v>9</v>
      </c>
      <c r="N673" s="44">
        <v>45995</v>
      </c>
      <c r="O673" s="39">
        <v>1</v>
      </c>
      <c r="P673" s="39">
        <v>5</v>
      </c>
      <c r="Q673" s="39">
        <v>5</v>
      </c>
      <c r="R673" s="39">
        <v>0</v>
      </c>
      <c r="S673" s="51" t="str">
        <f t="shared" si="53"/>
        <v>Detractor</v>
      </c>
    </row>
    <row r="674" ht="14.25" customHeight="1" spans="1:19">
      <c r="A674" s="43" t="s">
        <v>716</v>
      </c>
      <c r="B674" s="43" t="s">
        <v>11</v>
      </c>
      <c r="C674" s="43" t="s">
        <v>21</v>
      </c>
      <c r="D674" s="44">
        <v>45940</v>
      </c>
      <c r="E674" s="44">
        <v>45945</v>
      </c>
      <c r="F674" s="44">
        <v>45946</v>
      </c>
      <c r="G674" s="44">
        <v>45948</v>
      </c>
      <c r="H674" s="45" t="str">
        <f t="shared" si="54"/>
        <v>Delivered</v>
      </c>
      <c r="I674" s="48">
        <f t="shared" si="50"/>
        <v>5</v>
      </c>
      <c r="J674" s="48">
        <f t="shared" si="51"/>
        <v>1</v>
      </c>
      <c r="K674" s="48">
        <f t="shared" si="52"/>
        <v>2</v>
      </c>
      <c r="L674" s="39" t="s">
        <v>9</v>
      </c>
      <c r="N674" s="44">
        <v>45959</v>
      </c>
      <c r="O674" s="39">
        <v>5</v>
      </c>
      <c r="P674" s="39">
        <v>1</v>
      </c>
      <c r="Q674" s="39">
        <v>2</v>
      </c>
      <c r="R674" s="39">
        <v>6</v>
      </c>
      <c r="S674" s="51" t="str">
        <f t="shared" si="53"/>
        <v>Detractor</v>
      </c>
    </row>
    <row r="675" ht="14.25" customHeight="1" spans="1:19">
      <c r="A675" s="43" t="s">
        <v>717</v>
      </c>
      <c r="B675" s="43" t="s">
        <v>14</v>
      </c>
      <c r="C675" s="43" t="s">
        <v>21</v>
      </c>
      <c r="D675" s="44">
        <v>45955</v>
      </c>
      <c r="E675" s="44">
        <v>45957</v>
      </c>
      <c r="F675" s="44">
        <v>45959</v>
      </c>
      <c r="G675" s="44">
        <v>45964</v>
      </c>
      <c r="H675" s="45" t="str">
        <f t="shared" si="54"/>
        <v>Delivered</v>
      </c>
      <c r="I675" s="48">
        <f t="shared" si="50"/>
        <v>2</v>
      </c>
      <c r="J675" s="48">
        <f t="shared" si="51"/>
        <v>2</v>
      </c>
      <c r="K675" s="48">
        <f t="shared" si="52"/>
        <v>5</v>
      </c>
      <c r="L675" s="39" t="s">
        <v>9</v>
      </c>
      <c r="N675" s="44">
        <v>45994</v>
      </c>
      <c r="O675" s="39">
        <v>2</v>
      </c>
      <c r="P675" s="39">
        <v>2</v>
      </c>
      <c r="Q675" s="39">
        <v>5</v>
      </c>
      <c r="R675" s="39">
        <v>10</v>
      </c>
      <c r="S675" s="51" t="str">
        <f t="shared" si="53"/>
        <v>Promoter</v>
      </c>
    </row>
    <row r="676" ht="14.25" customHeight="1" spans="1:19">
      <c r="A676" s="43" t="s">
        <v>718</v>
      </c>
      <c r="B676" s="43" t="s">
        <v>11</v>
      </c>
      <c r="C676" s="43" t="s">
        <v>21</v>
      </c>
      <c r="D676" s="44">
        <v>45956</v>
      </c>
      <c r="E676" s="44">
        <v>45960</v>
      </c>
      <c r="F676" s="44">
        <v>45962</v>
      </c>
      <c r="G676" s="44">
        <v>45966</v>
      </c>
      <c r="H676" s="45" t="str">
        <f t="shared" si="54"/>
        <v>Delivered</v>
      </c>
      <c r="I676" s="48">
        <f t="shared" si="50"/>
        <v>4</v>
      </c>
      <c r="J676" s="48">
        <f t="shared" si="51"/>
        <v>2</v>
      </c>
      <c r="K676" s="48">
        <f t="shared" si="52"/>
        <v>4</v>
      </c>
      <c r="L676" s="39" t="s">
        <v>9</v>
      </c>
      <c r="N676" s="44">
        <v>45994</v>
      </c>
      <c r="O676" s="39">
        <v>4</v>
      </c>
      <c r="P676" s="39">
        <v>2</v>
      </c>
      <c r="Q676" s="39">
        <v>4</v>
      </c>
      <c r="R676" s="39">
        <v>8</v>
      </c>
      <c r="S676" s="51" t="str">
        <f t="shared" si="53"/>
        <v>Passive</v>
      </c>
    </row>
    <row r="677" ht="14.25" customHeight="1" spans="1:19">
      <c r="A677" s="43" t="s">
        <v>719</v>
      </c>
      <c r="B677" s="43" t="s">
        <v>12</v>
      </c>
      <c r="C677" s="43" t="s">
        <v>20</v>
      </c>
      <c r="D677" s="44">
        <v>45938</v>
      </c>
      <c r="H677" s="45" t="str">
        <f t="shared" si="54"/>
        <v>Cancelled</v>
      </c>
      <c r="I677" s="48">
        <f t="shared" si="50"/>
        <v>0</v>
      </c>
      <c r="J677" s="48">
        <f t="shared" si="51"/>
        <v>0</v>
      </c>
      <c r="K677" s="48">
        <f t="shared" si="52"/>
        <v>0</v>
      </c>
      <c r="L677" s="39" t="s">
        <v>10</v>
      </c>
      <c r="M677" s="39" t="s">
        <v>49</v>
      </c>
      <c r="S677" s="51" t="str">
        <f t="shared" si="53"/>
        <v>Detractor</v>
      </c>
    </row>
    <row r="678" ht="14.25" customHeight="1" spans="1:19">
      <c r="A678" s="43" t="s">
        <v>720</v>
      </c>
      <c r="B678" s="43" t="s">
        <v>11</v>
      </c>
      <c r="C678" s="43" t="s">
        <v>22</v>
      </c>
      <c r="D678" s="44">
        <v>45950</v>
      </c>
      <c r="E678" s="44">
        <v>45953</v>
      </c>
      <c r="F678" s="44">
        <v>45958</v>
      </c>
      <c r="G678" s="44">
        <v>45962</v>
      </c>
      <c r="H678" s="45" t="str">
        <f t="shared" si="54"/>
        <v>Delivered</v>
      </c>
      <c r="I678" s="48">
        <f t="shared" si="50"/>
        <v>3</v>
      </c>
      <c r="J678" s="48">
        <f t="shared" si="51"/>
        <v>5</v>
      </c>
      <c r="K678" s="48">
        <f t="shared" si="52"/>
        <v>4</v>
      </c>
      <c r="L678" s="39" t="s">
        <v>9</v>
      </c>
      <c r="N678" s="44">
        <v>45990</v>
      </c>
      <c r="O678" s="39">
        <v>3</v>
      </c>
      <c r="P678" s="39">
        <v>5</v>
      </c>
      <c r="Q678" s="39">
        <v>4</v>
      </c>
      <c r="R678" s="39">
        <v>10</v>
      </c>
      <c r="S678" s="51" t="str">
        <f t="shared" si="53"/>
        <v>Promoter</v>
      </c>
    </row>
    <row r="679" ht="14.25" customHeight="1" spans="1:19">
      <c r="A679" s="43" t="s">
        <v>721</v>
      </c>
      <c r="B679" s="43" t="s">
        <v>11</v>
      </c>
      <c r="C679" s="43" t="s">
        <v>20</v>
      </c>
      <c r="D679" s="44">
        <v>45956</v>
      </c>
      <c r="H679" s="45" t="str">
        <f t="shared" si="54"/>
        <v>Cancelled</v>
      </c>
      <c r="I679" s="48">
        <f t="shared" si="50"/>
        <v>0</v>
      </c>
      <c r="J679" s="48">
        <f t="shared" si="51"/>
        <v>0</v>
      </c>
      <c r="K679" s="48">
        <f t="shared" si="52"/>
        <v>0</v>
      </c>
      <c r="L679" s="39" t="s">
        <v>10</v>
      </c>
      <c r="M679" s="39" t="s">
        <v>42</v>
      </c>
      <c r="S679" s="51" t="str">
        <f t="shared" si="53"/>
        <v>Detractor</v>
      </c>
    </row>
    <row r="680" ht="14.25" customHeight="1" spans="1:19">
      <c r="A680" s="43" t="s">
        <v>722</v>
      </c>
      <c r="B680" s="43" t="s">
        <v>12</v>
      </c>
      <c r="C680" s="43" t="s">
        <v>22</v>
      </c>
      <c r="D680" s="44">
        <v>45942</v>
      </c>
      <c r="E680" s="44">
        <v>45945</v>
      </c>
      <c r="F680" s="44">
        <v>45949</v>
      </c>
      <c r="G680" s="44">
        <v>45953</v>
      </c>
      <c r="H680" s="45" t="str">
        <f t="shared" si="54"/>
        <v>Delivered</v>
      </c>
      <c r="I680" s="48">
        <f t="shared" si="50"/>
        <v>3</v>
      </c>
      <c r="J680" s="48">
        <f t="shared" si="51"/>
        <v>4</v>
      </c>
      <c r="K680" s="48">
        <f t="shared" si="52"/>
        <v>4</v>
      </c>
      <c r="L680" s="39" t="s">
        <v>10</v>
      </c>
      <c r="M680" s="39" t="s">
        <v>79</v>
      </c>
      <c r="O680" s="39">
        <v>3</v>
      </c>
      <c r="P680" s="39">
        <v>4</v>
      </c>
      <c r="Q680" s="39">
        <v>4</v>
      </c>
      <c r="S680" s="51" t="str">
        <f t="shared" si="53"/>
        <v>Detractor</v>
      </c>
    </row>
    <row r="681" ht="14.25" customHeight="1" spans="1:19">
      <c r="A681" s="43" t="s">
        <v>723</v>
      </c>
      <c r="B681" s="43" t="s">
        <v>13</v>
      </c>
      <c r="C681" s="43" t="s">
        <v>22</v>
      </c>
      <c r="D681" s="44">
        <v>45938</v>
      </c>
      <c r="E681" s="44">
        <v>45942</v>
      </c>
      <c r="F681" s="44">
        <v>45945</v>
      </c>
      <c r="G681" s="44">
        <v>45947</v>
      </c>
      <c r="H681" s="45" t="str">
        <f t="shared" si="54"/>
        <v>Delivered</v>
      </c>
      <c r="I681" s="48">
        <f t="shared" si="50"/>
        <v>4</v>
      </c>
      <c r="J681" s="48">
        <f t="shared" si="51"/>
        <v>3</v>
      </c>
      <c r="K681" s="48">
        <f t="shared" si="52"/>
        <v>2</v>
      </c>
      <c r="L681" s="39" t="s">
        <v>9</v>
      </c>
      <c r="N681" s="44">
        <v>45976</v>
      </c>
      <c r="O681" s="39">
        <v>4</v>
      </c>
      <c r="P681" s="39">
        <v>3</v>
      </c>
      <c r="Q681" s="39">
        <v>2</v>
      </c>
      <c r="R681" s="39">
        <v>10</v>
      </c>
      <c r="S681" s="51" t="str">
        <f t="shared" si="53"/>
        <v>Promoter</v>
      </c>
    </row>
    <row r="682" ht="14.25" customHeight="1" spans="1:19">
      <c r="A682" s="43" t="s">
        <v>724</v>
      </c>
      <c r="B682" s="43" t="s">
        <v>13</v>
      </c>
      <c r="C682" s="43" t="s">
        <v>22</v>
      </c>
      <c r="D682" s="44">
        <v>45951</v>
      </c>
      <c r="E682" s="44">
        <v>45952</v>
      </c>
      <c r="F682" s="44">
        <v>45953</v>
      </c>
      <c r="G682" s="44">
        <v>45959</v>
      </c>
      <c r="H682" s="45" t="str">
        <f t="shared" si="54"/>
        <v>Delivered</v>
      </c>
      <c r="I682" s="48">
        <f t="shared" si="50"/>
        <v>1</v>
      </c>
      <c r="J682" s="48">
        <f t="shared" si="51"/>
        <v>1</v>
      </c>
      <c r="K682" s="48">
        <f t="shared" si="52"/>
        <v>6</v>
      </c>
      <c r="L682" s="39" t="s">
        <v>9</v>
      </c>
      <c r="N682" s="44">
        <v>45971</v>
      </c>
      <c r="O682" s="39">
        <v>1</v>
      </c>
      <c r="P682" s="39">
        <v>1</v>
      </c>
      <c r="Q682" s="39">
        <v>6</v>
      </c>
      <c r="R682" s="39">
        <v>2</v>
      </c>
      <c r="S682" s="51" t="str">
        <f t="shared" si="53"/>
        <v>Detractor</v>
      </c>
    </row>
    <row r="683" ht="14.25" customHeight="1" spans="1:19">
      <c r="A683" s="43" t="s">
        <v>725</v>
      </c>
      <c r="B683" s="43" t="s">
        <v>12</v>
      </c>
      <c r="C683" s="43" t="s">
        <v>22</v>
      </c>
      <c r="D683" s="44">
        <v>45937</v>
      </c>
      <c r="E683" s="44">
        <v>45942</v>
      </c>
      <c r="F683" s="44">
        <v>45943</v>
      </c>
      <c r="G683" s="44">
        <v>45948</v>
      </c>
      <c r="H683" s="45" t="str">
        <f t="shared" si="54"/>
        <v>Delivered</v>
      </c>
      <c r="I683" s="48">
        <f t="shared" si="50"/>
        <v>5</v>
      </c>
      <c r="J683" s="48">
        <f t="shared" si="51"/>
        <v>1</v>
      </c>
      <c r="K683" s="48">
        <f t="shared" si="52"/>
        <v>5</v>
      </c>
      <c r="L683" s="39" t="s">
        <v>9</v>
      </c>
      <c r="N683" s="44">
        <v>45973</v>
      </c>
      <c r="O683" s="39">
        <v>5</v>
      </c>
      <c r="P683" s="39">
        <v>1</v>
      </c>
      <c r="Q683" s="39">
        <v>5</v>
      </c>
      <c r="R683" s="39">
        <v>9</v>
      </c>
      <c r="S683" s="51" t="str">
        <f t="shared" si="53"/>
        <v>Promoter</v>
      </c>
    </row>
    <row r="684" ht="14.25" customHeight="1" spans="1:19">
      <c r="A684" s="43" t="s">
        <v>726</v>
      </c>
      <c r="B684" s="43" t="s">
        <v>14</v>
      </c>
      <c r="C684" s="43" t="s">
        <v>21</v>
      </c>
      <c r="D684" s="44">
        <v>45950</v>
      </c>
      <c r="E684" s="44">
        <v>45952</v>
      </c>
      <c r="F684" s="44">
        <v>45955</v>
      </c>
      <c r="G684" s="44">
        <v>45957</v>
      </c>
      <c r="H684" s="45" t="str">
        <f t="shared" si="54"/>
        <v>Delivered</v>
      </c>
      <c r="I684" s="48">
        <f t="shared" si="50"/>
        <v>2</v>
      </c>
      <c r="J684" s="48">
        <f t="shared" si="51"/>
        <v>3</v>
      </c>
      <c r="K684" s="48">
        <f t="shared" si="52"/>
        <v>2</v>
      </c>
      <c r="L684" s="39" t="s">
        <v>9</v>
      </c>
      <c r="N684" s="44">
        <v>45973</v>
      </c>
      <c r="O684" s="39">
        <v>2</v>
      </c>
      <c r="P684" s="39">
        <v>3</v>
      </c>
      <c r="Q684" s="39">
        <v>2</v>
      </c>
      <c r="R684" s="39">
        <v>8</v>
      </c>
      <c r="S684" s="51" t="str">
        <f t="shared" si="53"/>
        <v>Passive</v>
      </c>
    </row>
    <row r="685" ht="14.25" customHeight="1" spans="1:19">
      <c r="A685" s="43" t="s">
        <v>727</v>
      </c>
      <c r="B685" s="43" t="s">
        <v>11</v>
      </c>
      <c r="C685" s="43" t="s">
        <v>20</v>
      </c>
      <c r="D685" s="44">
        <v>45939</v>
      </c>
      <c r="H685" s="45" t="str">
        <f t="shared" si="54"/>
        <v>Cancelled</v>
      </c>
      <c r="I685" s="48">
        <f t="shared" si="50"/>
        <v>0</v>
      </c>
      <c r="J685" s="48">
        <f t="shared" si="51"/>
        <v>0</v>
      </c>
      <c r="K685" s="48">
        <f t="shared" si="52"/>
        <v>0</v>
      </c>
      <c r="L685" s="39" t="s">
        <v>10</v>
      </c>
      <c r="M685" s="39" t="s">
        <v>117</v>
      </c>
      <c r="S685" s="51" t="str">
        <f t="shared" si="53"/>
        <v>Detractor</v>
      </c>
    </row>
    <row r="686" ht="14.25" customHeight="1" spans="1:19">
      <c r="A686" s="43" t="s">
        <v>728</v>
      </c>
      <c r="B686" s="43" t="s">
        <v>12</v>
      </c>
      <c r="C686" s="43" t="s">
        <v>20</v>
      </c>
      <c r="D686" s="44">
        <v>45952</v>
      </c>
      <c r="H686" s="45" t="str">
        <f t="shared" si="54"/>
        <v>Cancelled</v>
      </c>
      <c r="I686" s="48">
        <f t="shared" si="50"/>
        <v>0</v>
      </c>
      <c r="J686" s="48">
        <f t="shared" si="51"/>
        <v>0</v>
      </c>
      <c r="K686" s="48">
        <f t="shared" si="52"/>
        <v>0</v>
      </c>
      <c r="L686" s="39" t="s">
        <v>10</v>
      </c>
      <c r="M686" s="39" t="s">
        <v>117</v>
      </c>
      <c r="S686" s="51" t="str">
        <f t="shared" si="53"/>
        <v>Detractor</v>
      </c>
    </row>
    <row r="687" ht="14.25" customHeight="1" spans="1:19">
      <c r="A687" s="43" t="s">
        <v>729</v>
      </c>
      <c r="B687" s="43" t="s">
        <v>11</v>
      </c>
      <c r="C687" s="43" t="s">
        <v>22</v>
      </c>
      <c r="D687" s="44">
        <v>45955</v>
      </c>
      <c r="E687" s="44">
        <v>45960</v>
      </c>
      <c r="F687" s="44">
        <v>45965</v>
      </c>
      <c r="G687" s="44">
        <v>45969</v>
      </c>
      <c r="H687" s="45" t="str">
        <f t="shared" si="54"/>
        <v>Delivered</v>
      </c>
      <c r="I687" s="48">
        <f t="shared" si="50"/>
        <v>5</v>
      </c>
      <c r="J687" s="48">
        <f t="shared" si="51"/>
        <v>5</v>
      </c>
      <c r="K687" s="48">
        <f t="shared" si="52"/>
        <v>4</v>
      </c>
      <c r="L687" s="39" t="s">
        <v>9</v>
      </c>
      <c r="N687" s="44">
        <v>45995</v>
      </c>
      <c r="O687" s="39">
        <v>5</v>
      </c>
      <c r="P687" s="39">
        <v>5</v>
      </c>
      <c r="Q687" s="39">
        <v>4</v>
      </c>
      <c r="R687" s="39">
        <v>5</v>
      </c>
      <c r="S687" s="51" t="str">
        <f t="shared" si="53"/>
        <v>Detractor</v>
      </c>
    </row>
    <row r="688" ht="14.25" customHeight="1" spans="1:19">
      <c r="A688" s="43" t="s">
        <v>730</v>
      </c>
      <c r="B688" s="43" t="s">
        <v>14</v>
      </c>
      <c r="C688" s="43" t="s">
        <v>20</v>
      </c>
      <c r="D688" s="44">
        <v>45954</v>
      </c>
      <c r="H688" s="45" t="str">
        <f t="shared" si="54"/>
        <v>Cancelled</v>
      </c>
      <c r="I688" s="48">
        <f t="shared" si="50"/>
        <v>0</v>
      </c>
      <c r="J688" s="48">
        <f t="shared" si="51"/>
        <v>0</v>
      </c>
      <c r="K688" s="48">
        <f t="shared" si="52"/>
        <v>0</v>
      </c>
      <c r="L688" s="39" t="s">
        <v>10</v>
      </c>
      <c r="M688" s="39" t="s">
        <v>49</v>
      </c>
      <c r="S688" s="51" t="str">
        <f t="shared" si="53"/>
        <v>Detractor</v>
      </c>
    </row>
    <row r="689" ht="14.25" customHeight="1" spans="1:19">
      <c r="A689" s="43" t="s">
        <v>731</v>
      </c>
      <c r="B689" s="43" t="s">
        <v>11</v>
      </c>
      <c r="C689" s="43" t="s">
        <v>20</v>
      </c>
      <c r="D689" s="44">
        <v>45955</v>
      </c>
      <c r="H689" s="45" t="str">
        <f t="shared" si="54"/>
        <v>Cancelled</v>
      </c>
      <c r="I689" s="48">
        <f t="shared" si="50"/>
        <v>0</v>
      </c>
      <c r="J689" s="48">
        <f t="shared" si="51"/>
        <v>0</v>
      </c>
      <c r="K689" s="48">
        <f t="shared" si="52"/>
        <v>0</v>
      </c>
      <c r="L689" s="39" t="s">
        <v>10</v>
      </c>
      <c r="M689" s="39" t="s">
        <v>42</v>
      </c>
      <c r="S689" s="51" t="str">
        <f t="shared" si="53"/>
        <v>Detractor</v>
      </c>
    </row>
    <row r="690" ht="14.25" customHeight="1" spans="1:19">
      <c r="A690" s="43" t="s">
        <v>732</v>
      </c>
      <c r="B690" s="43" t="s">
        <v>12</v>
      </c>
      <c r="C690" s="43" t="s">
        <v>22</v>
      </c>
      <c r="D690" s="44">
        <v>45952</v>
      </c>
      <c r="E690" s="44">
        <v>45955</v>
      </c>
      <c r="F690" s="44">
        <v>45960</v>
      </c>
      <c r="G690" s="44">
        <v>45963</v>
      </c>
      <c r="H690" s="45" t="str">
        <f t="shared" si="54"/>
        <v>Delivered</v>
      </c>
      <c r="I690" s="48">
        <f t="shared" si="50"/>
        <v>3</v>
      </c>
      <c r="J690" s="48">
        <f t="shared" si="51"/>
        <v>5</v>
      </c>
      <c r="K690" s="48">
        <f t="shared" si="52"/>
        <v>3</v>
      </c>
      <c r="L690" s="39" t="s">
        <v>9</v>
      </c>
      <c r="N690" s="44">
        <v>45976</v>
      </c>
      <c r="O690" s="39">
        <v>3</v>
      </c>
      <c r="P690" s="39">
        <v>5</v>
      </c>
      <c r="Q690" s="39">
        <v>3</v>
      </c>
      <c r="R690" s="39">
        <v>5</v>
      </c>
      <c r="S690" s="51" t="str">
        <f t="shared" si="53"/>
        <v>Detractor</v>
      </c>
    </row>
    <row r="691" ht="14.25" customHeight="1" spans="1:19">
      <c r="A691" s="43" t="s">
        <v>733</v>
      </c>
      <c r="B691" s="43" t="s">
        <v>11</v>
      </c>
      <c r="C691" s="43" t="s">
        <v>21</v>
      </c>
      <c r="D691" s="44">
        <v>45952</v>
      </c>
      <c r="E691" s="44">
        <v>45956</v>
      </c>
      <c r="F691" s="44">
        <v>45957</v>
      </c>
      <c r="G691" s="44">
        <v>45961</v>
      </c>
      <c r="H691" s="45" t="str">
        <f t="shared" si="54"/>
        <v>Delivered</v>
      </c>
      <c r="I691" s="48">
        <f t="shared" si="50"/>
        <v>4</v>
      </c>
      <c r="J691" s="48">
        <f t="shared" si="51"/>
        <v>1</v>
      </c>
      <c r="K691" s="48">
        <f t="shared" si="52"/>
        <v>4</v>
      </c>
      <c r="L691" s="39" t="s">
        <v>9</v>
      </c>
      <c r="N691" s="44">
        <v>45983</v>
      </c>
      <c r="O691" s="39">
        <v>4</v>
      </c>
      <c r="P691" s="39">
        <v>1</v>
      </c>
      <c r="Q691" s="39">
        <v>4</v>
      </c>
      <c r="R691" s="39">
        <v>2</v>
      </c>
      <c r="S691" s="51" t="str">
        <f t="shared" si="53"/>
        <v>Detractor</v>
      </c>
    </row>
    <row r="692" ht="14.25" customHeight="1" spans="1:19">
      <c r="A692" s="43" t="s">
        <v>734</v>
      </c>
      <c r="B692" s="43" t="s">
        <v>13</v>
      </c>
      <c r="C692" s="43" t="s">
        <v>22</v>
      </c>
      <c r="D692" s="44">
        <v>45957</v>
      </c>
      <c r="E692" s="44">
        <v>45960</v>
      </c>
      <c r="F692" s="44">
        <v>45962</v>
      </c>
      <c r="G692" s="44">
        <v>45968</v>
      </c>
      <c r="H692" s="45" t="str">
        <f t="shared" si="54"/>
        <v>Delivered</v>
      </c>
      <c r="I692" s="48">
        <f t="shared" si="50"/>
        <v>3</v>
      </c>
      <c r="J692" s="48">
        <f t="shared" si="51"/>
        <v>2</v>
      </c>
      <c r="K692" s="48">
        <f t="shared" si="52"/>
        <v>6</v>
      </c>
      <c r="L692" s="39" t="s">
        <v>9</v>
      </c>
      <c r="N692" s="44">
        <v>45994</v>
      </c>
      <c r="O692" s="39">
        <v>3</v>
      </c>
      <c r="P692" s="39">
        <v>2</v>
      </c>
      <c r="Q692" s="39">
        <v>6</v>
      </c>
      <c r="R692" s="39">
        <v>7</v>
      </c>
      <c r="S692" s="51" t="str">
        <f t="shared" si="53"/>
        <v>Passive</v>
      </c>
    </row>
    <row r="693" ht="14.25" customHeight="1" spans="1:19">
      <c r="A693" s="43" t="s">
        <v>735</v>
      </c>
      <c r="B693" s="43" t="s">
        <v>14</v>
      </c>
      <c r="C693" s="43" t="s">
        <v>22</v>
      </c>
      <c r="D693" s="44">
        <v>45935</v>
      </c>
      <c r="E693" s="44">
        <v>45938</v>
      </c>
      <c r="F693" s="44">
        <v>45941</v>
      </c>
      <c r="G693" s="44">
        <v>45945</v>
      </c>
      <c r="H693" s="45" t="str">
        <f t="shared" si="54"/>
        <v>Delivered</v>
      </c>
      <c r="I693" s="48">
        <f t="shared" si="50"/>
        <v>3</v>
      </c>
      <c r="J693" s="48">
        <f t="shared" si="51"/>
        <v>3</v>
      </c>
      <c r="K693" s="48">
        <f t="shared" si="52"/>
        <v>4</v>
      </c>
      <c r="L693" s="39" t="s">
        <v>9</v>
      </c>
      <c r="N693" s="44">
        <v>45964</v>
      </c>
      <c r="O693" s="39">
        <v>3</v>
      </c>
      <c r="P693" s="39">
        <v>3</v>
      </c>
      <c r="Q693" s="39">
        <v>4</v>
      </c>
      <c r="R693" s="39">
        <v>3</v>
      </c>
      <c r="S693" s="51" t="str">
        <f t="shared" si="53"/>
        <v>Detractor</v>
      </c>
    </row>
    <row r="694" ht="14.25" customHeight="1" spans="1:19">
      <c r="A694" s="43" t="s">
        <v>736</v>
      </c>
      <c r="B694" s="43" t="s">
        <v>14</v>
      </c>
      <c r="C694" s="43" t="s">
        <v>21</v>
      </c>
      <c r="D694" s="44">
        <v>45951</v>
      </c>
      <c r="E694" s="44">
        <v>45953</v>
      </c>
      <c r="F694" s="44">
        <v>45954</v>
      </c>
      <c r="G694" s="44">
        <v>45961</v>
      </c>
      <c r="H694" s="45" t="str">
        <f t="shared" si="54"/>
        <v>Delivered</v>
      </c>
      <c r="I694" s="48">
        <f t="shared" si="50"/>
        <v>2</v>
      </c>
      <c r="J694" s="48">
        <f t="shared" si="51"/>
        <v>1</v>
      </c>
      <c r="K694" s="48">
        <f t="shared" si="52"/>
        <v>7</v>
      </c>
      <c r="L694" s="39" t="s">
        <v>9</v>
      </c>
      <c r="N694" s="44">
        <v>45984</v>
      </c>
      <c r="O694" s="39">
        <v>2</v>
      </c>
      <c r="P694" s="39">
        <v>1</v>
      </c>
      <c r="Q694" s="39">
        <v>7</v>
      </c>
      <c r="R694" s="39">
        <v>8</v>
      </c>
      <c r="S694" s="51" t="str">
        <f t="shared" si="53"/>
        <v>Passive</v>
      </c>
    </row>
    <row r="695" ht="14.25" customHeight="1" spans="1:19">
      <c r="A695" s="43" t="s">
        <v>737</v>
      </c>
      <c r="B695" s="43" t="s">
        <v>14</v>
      </c>
      <c r="C695" s="43" t="s">
        <v>21</v>
      </c>
      <c r="D695" s="44">
        <v>45934</v>
      </c>
      <c r="E695" s="44">
        <v>45935</v>
      </c>
      <c r="F695" s="44">
        <v>45937</v>
      </c>
      <c r="G695" s="44">
        <v>45943</v>
      </c>
      <c r="H695" s="45" t="str">
        <f t="shared" si="54"/>
        <v>Delivered</v>
      </c>
      <c r="I695" s="48">
        <f t="shared" si="50"/>
        <v>1</v>
      </c>
      <c r="J695" s="48">
        <f t="shared" si="51"/>
        <v>2</v>
      </c>
      <c r="K695" s="48">
        <f t="shared" si="52"/>
        <v>6</v>
      </c>
      <c r="L695" s="39" t="s">
        <v>9</v>
      </c>
      <c r="N695" s="44">
        <v>45954</v>
      </c>
      <c r="O695" s="39">
        <v>1</v>
      </c>
      <c r="P695" s="39">
        <v>2</v>
      </c>
      <c r="Q695" s="39">
        <v>6</v>
      </c>
      <c r="R695" s="39">
        <v>7</v>
      </c>
      <c r="S695" s="51" t="str">
        <f t="shared" si="53"/>
        <v>Passive</v>
      </c>
    </row>
    <row r="696" ht="14.25" customHeight="1" spans="1:19">
      <c r="A696" s="43" t="s">
        <v>738</v>
      </c>
      <c r="B696" s="43" t="s">
        <v>12</v>
      </c>
      <c r="C696" s="43" t="s">
        <v>22</v>
      </c>
      <c r="D696" s="44">
        <v>45959</v>
      </c>
      <c r="E696" s="44">
        <v>45960</v>
      </c>
      <c r="F696" s="44">
        <v>45965</v>
      </c>
      <c r="G696" s="44">
        <v>45968</v>
      </c>
      <c r="H696" s="45" t="str">
        <f t="shared" si="54"/>
        <v>Delivered</v>
      </c>
      <c r="I696" s="48">
        <f t="shared" si="50"/>
        <v>1</v>
      </c>
      <c r="J696" s="48">
        <f t="shared" si="51"/>
        <v>5</v>
      </c>
      <c r="K696" s="48">
        <f t="shared" si="52"/>
        <v>3</v>
      </c>
      <c r="L696" s="39" t="s">
        <v>9</v>
      </c>
      <c r="N696" s="44">
        <v>45982</v>
      </c>
      <c r="O696" s="39">
        <v>1</v>
      </c>
      <c r="P696" s="39">
        <v>5</v>
      </c>
      <c r="Q696" s="39">
        <v>3</v>
      </c>
      <c r="R696" s="39">
        <v>2</v>
      </c>
      <c r="S696" s="51" t="str">
        <f t="shared" si="53"/>
        <v>Detractor</v>
      </c>
    </row>
    <row r="697" ht="14.25" customHeight="1" spans="1:19">
      <c r="A697" s="43" t="s">
        <v>739</v>
      </c>
      <c r="B697" s="43" t="s">
        <v>14</v>
      </c>
      <c r="C697" s="43" t="s">
        <v>21</v>
      </c>
      <c r="D697" s="44">
        <v>45951</v>
      </c>
      <c r="E697" s="44">
        <v>45953</v>
      </c>
      <c r="F697" s="44">
        <v>45955</v>
      </c>
      <c r="G697" s="44">
        <v>45960</v>
      </c>
      <c r="H697" s="45" t="str">
        <f t="shared" si="54"/>
        <v>Delivered</v>
      </c>
      <c r="I697" s="48">
        <f t="shared" si="50"/>
        <v>2</v>
      </c>
      <c r="J697" s="48">
        <f t="shared" si="51"/>
        <v>2</v>
      </c>
      <c r="K697" s="48">
        <f t="shared" si="52"/>
        <v>5</v>
      </c>
      <c r="L697" s="39" t="s">
        <v>9</v>
      </c>
      <c r="N697" s="44">
        <v>45974</v>
      </c>
      <c r="O697" s="39">
        <v>2</v>
      </c>
      <c r="P697" s="39">
        <v>2</v>
      </c>
      <c r="Q697" s="39">
        <v>5</v>
      </c>
      <c r="R697" s="39">
        <v>2</v>
      </c>
      <c r="S697" s="51" t="str">
        <f t="shared" si="53"/>
        <v>Detractor</v>
      </c>
    </row>
    <row r="698" ht="14.25" customHeight="1" spans="1:19">
      <c r="A698" s="43" t="s">
        <v>740</v>
      </c>
      <c r="B698" s="43" t="s">
        <v>13</v>
      </c>
      <c r="C698" s="43" t="s">
        <v>22</v>
      </c>
      <c r="D698" s="44">
        <v>45951</v>
      </c>
      <c r="E698" s="44">
        <v>45955</v>
      </c>
      <c r="F698" s="44">
        <v>45959</v>
      </c>
      <c r="G698" s="44">
        <v>45963</v>
      </c>
      <c r="H698" s="45" t="str">
        <f t="shared" si="54"/>
        <v>Delivered</v>
      </c>
      <c r="I698" s="48">
        <f t="shared" si="50"/>
        <v>4</v>
      </c>
      <c r="J698" s="48">
        <f t="shared" si="51"/>
        <v>4</v>
      </c>
      <c r="K698" s="48">
        <f t="shared" si="52"/>
        <v>4</v>
      </c>
      <c r="L698" s="39" t="s">
        <v>9</v>
      </c>
      <c r="N698" s="44">
        <v>45979</v>
      </c>
      <c r="O698" s="39">
        <v>4</v>
      </c>
      <c r="P698" s="39">
        <v>4</v>
      </c>
      <c r="Q698" s="39">
        <v>4</v>
      </c>
      <c r="R698" s="39">
        <v>9</v>
      </c>
      <c r="S698" s="51" t="str">
        <f t="shared" si="53"/>
        <v>Promoter</v>
      </c>
    </row>
    <row r="699" ht="14.25" customHeight="1" spans="1:19">
      <c r="A699" s="43" t="s">
        <v>741</v>
      </c>
      <c r="B699" s="43" t="s">
        <v>12</v>
      </c>
      <c r="C699" s="43" t="s">
        <v>20</v>
      </c>
      <c r="D699" s="44">
        <v>45932</v>
      </c>
      <c r="H699" s="45" t="str">
        <f t="shared" si="54"/>
        <v>Cancelled</v>
      </c>
      <c r="I699" s="48">
        <f t="shared" si="50"/>
        <v>0</v>
      </c>
      <c r="J699" s="48">
        <f t="shared" si="51"/>
        <v>0</v>
      </c>
      <c r="K699" s="48">
        <f t="shared" si="52"/>
        <v>0</v>
      </c>
      <c r="L699" s="39" t="s">
        <v>10</v>
      </c>
      <c r="M699" s="39" t="s">
        <v>117</v>
      </c>
      <c r="S699" s="51" t="str">
        <f t="shared" si="53"/>
        <v>Detractor</v>
      </c>
    </row>
    <row r="700" ht="14.25" customHeight="1" spans="1:19">
      <c r="A700" s="43" t="s">
        <v>742</v>
      </c>
      <c r="B700" s="43" t="s">
        <v>13</v>
      </c>
      <c r="C700" s="43" t="s">
        <v>20</v>
      </c>
      <c r="D700" s="44">
        <v>45940</v>
      </c>
      <c r="H700" s="45" t="str">
        <f t="shared" si="54"/>
        <v>Cancelled</v>
      </c>
      <c r="I700" s="48">
        <f t="shared" si="50"/>
        <v>0</v>
      </c>
      <c r="J700" s="48">
        <f t="shared" si="51"/>
        <v>0</v>
      </c>
      <c r="K700" s="48">
        <f t="shared" si="52"/>
        <v>0</v>
      </c>
      <c r="L700" s="39" t="s">
        <v>10</v>
      </c>
      <c r="M700" s="39" t="s">
        <v>117</v>
      </c>
      <c r="S700" s="51" t="str">
        <f t="shared" si="53"/>
        <v>Detractor</v>
      </c>
    </row>
    <row r="701" ht="14.25" customHeight="1" spans="1:19">
      <c r="A701" s="43" t="s">
        <v>743</v>
      </c>
      <c r="B701" s="43" t="s">
        <v>11</v>
      </c>
      <c r="C701" s="43" t="s">
        <v>21</v>
      </c>
      <c r="D701" s="44">
        <v>45956</v>
      </c>
      <c r="E701" s="44">
        <v>45961</v>
      </c>
      <c r="F701" s="44">
        <v>45962</v>
      </c>
      <c r="G701" s="44">
        <v>45968</v>
      </c>
      <c r="H701" s="45" t="str">
        <f t="shared" si="54"/>
        <v>Delivered</v>
      </c>
      <c r="I701" s="48">
        <f t="shared" si="50"/>
        <v>5</v>
      </c>
      <c r="J701" s="48">
        <f t="shared" si="51"/>
        <v>1</v>
      </c>
      <c r="K701" s="48">
        <f t="shared" si="52"/>
        <v>6</v>
      </c>
      <c r="L701" s="39" t="s">
        <v>9</v>
      </c>
      <c r="N701" s="44">
        <v>45988</v>
      </c>
      <c r="O701" s="39">
        <v>5</v>
      </c>
      <c r="P701" s="39">
        <v>1</v>
      </c>
      <c r="Q701" s="39">
        <v>6</v>
      </c>
      <c r="R701" s="39">
        <v>7</v>
      </c>
      <c r="S701" s="51" t="str">
        <f t="shared" si="53"/>
        <v>Passive</v>
      </c>
    </row>
    <row r="702" ht="14.25" customHeight="1" spans="1:19">
      <c r="A702" s="43" t="s">
        <v>744</v>
      </c>
      <c r="B702" s="43" t="s">
        <v>11</v>
      </c>
      <c r="C702" s="43" t="s">
        <v>20</v>
      </c>
      <c r="D702" s="44">
        <v>45945</v>
      </c>
      <c r="H702" s="45" t="str">
        <f t="shared" si="54"/>
        <v>Cancelled</v>
      </c>
      <c r="I702" s="48">
        <f t="shared" si="50"/>
        <v>0</v>
      </c>
      <c r="J702" s="48">
        <f t="shared" si="51"/>
        <v>0</v>
      </c>
      <c r="K702" s="48">
        <f t="shared" si="52"/>
        <v>0</v>
      </c>
      <c r="L702" s="39" t="s">
        <v>10</v>
      </c>
      <c r="M702" s="39" t="s">
        <v>79</v>
      </c>
      <c r="S702" s="51" t="str">
        <f t="shared" si="53"/>
        <v>Detractor</v>
      </c>
    </row>
    <row r="703" ht="14.25" customHeight="1" spans="1:19">
      <c r="A703" s="43" t="s">
        <v>745</v>
      </c>
      <c r="B703" s="43" t="s">
        <v>11</v>
      </c>
      <c r="C703" s="43" t="s">
        <v>21</v>
      </c>
      <c r="D703" s="44">
        <v>45932</v>
      </c>
      <c r="E703" s="44">
        <v>45936</v>
      </c>
      <c r="F703" s="44">
        <v>45939</v>
      </c>
      <c r="G703" s="44">
        <v>45944</v>
      </c>
      <c r="H703" s="45" t="str">
        <f t="shared" si="54"/>
        <v>Delivered</v>
      </c>
      <c r="I703" s="48">
        <f t="shared" si="50"/>
        <v>4</v>
      </c>
      <c r="J703" s="48">
        <f t="shared" si="51"/>
        <v>3</v>
      </c>
      <c r="K703" s="48">
        <f t="shared" si="52"/>
        <v>5</v>
      </c>
      <c r="L703" s="39" t="s">
        <v>9</v>
      </c>
      <c r="N703" s="44">
        <v>45967</v>
      </c>
      <c r="O703" s="39">
        <v>4</v>
      </c>
      <c r="P703" s="39">
        <v>3</v>
      </c>
      <c r="Q703" s="39">
        <v>5</v>
      </c>
      <c r="R703" s="39">
        <v>9</v>
      </c>
      <c r="S703" s="51" t="str">
        <f t="shared" si="53"/>
        <v>Promoter</v>
      </c>
    </row>
    <row r="704" ht="14.25" customHeight="1" spans="1:19">
      <c r="A704" s="43" t="s">
        <v>746</v>
      </c>
      <c r="B704" s="43" t="s">
        <v>11</v>
      </c>
      <c r="C704" s="43" t="s">
        <v>21</v>
      </c>
      <c r="D704" s="44">
        <v>45949</v>
      </c>
      <c r="E704" s="44">
        <v>45954</v>
      </c>
      <c r="F704" s="44">
        <v>45956</v>
      </c>
      <c r="G704" s="44">
        <v>45959</v>
      </c>
      <c r="H704" s="45" t="str">
        <f t="shared" si="54"/>
        <v>Delivered</v>
      </c>
      <c r="I704" s="48">
        <f t="shared" si="50"/>
        <v>5</v>
      </c>
      <c r="J704" s="48">
        <f t="shared" si="51"/>
        <v>2</v>
      </c>
      <c r="K704" s="48">
        <f t="shared" si="52"/>
        <v>3</v>
      </c>
      <c r="L704" s="39" t="s">
        <v>10</v>
      </c>
      <c r="M704" s="39" t="s">
        <v>44</v>
      </c>
      <c r="O704" s="39">
        <v>5</v>
      </c>
      <c r="P704" s="39">
        <v>2</v>
      </c>
      <c r="Q704" s="39">
        <v>3</v>
      </c>
      <c r="S704" s="51" t="str">
        <f t="shared" si="53"/>
        <v>Detractor</v>
      </c>
    </row>
    <row r="705" ht="14.25" customHeight="1" spans="1:19">
      <c r="A705" s="43" t="s">
        <v>747</v>
      </c>
      <c r="B705" s="43" t="s">
        <v>13</v>
      </c>
      <c r="C705" s="43" t="s">
        <v>22</v>
      </c>
      <c r="D705" s="44">
        <v>45942</v>
      </c>
      <c r="E705" s="44">
        <v>45943</v>
      </c>
      <c r="F705" s="44">
        <v>45948</v>
      </c>
      <c r="G705" s="44">
        <v>45955</v>
      </c>
      <c r="H705" s="45" t="str">
        <f t="shared" si="54"/>
        <v>Delivered</v>
      </c>
      <c r="I705" s="48">
        <f t="shared" si="50"/>
        <v>1</v>
      </c>
      <c r="J705" s="48">
        <f t="shared" si="51"/>
        <v>5</v>
      </c>
      <c r="K705" s="48">
        <f t="shared" si="52"/>
        <v>7</v>
      </c>
      <c r="L705" s="39" t="s">
        <v>9</v>
      </c>
      <c r="N705" s="44">
        <v>45983</v>
      </c>
      <c r="O705" s="39">
        <v>1</v>
      </c>
      <c r="P705" s="39">
        <v>5</v>
      </c>
      <c r="Q705" s="39">
        <v>7</v>
      </c>
      <c r="R705" s="39">
        <v>2</v>
      </c>
      <c r="S705" s="51" t="str">
        <f t="shared" si="53"/>
        <v>Detractor</v>
      </c>
    </row>
    <row r="706" ht="14.25" customHeight="1" spans="1:19">
      <c r="A706" s="43" t="s">
        <v>748</v>
      </c>
      <c r="B706" s="43" t="s">
        <v>12</v>
      </c>
      <c r="C706" s="43" t="s">
        <v>22</v>
      </c>
      <c r="D706" s="44">
        <v>45954</v>
      </c>
      <c r="E706" s="44">
        <v>45957</v>
      </c>
      <c r="F706" s="44">
        <v>45959</v>
      </c>
      <c r="G706" s="44">
        <v>45965</v>
      </c>
      <c r="H706" s="45" t="str">
        <f t="shared" si="54"/>
        <v>Delivered</v>
      </c>
      <c r="I706" s="48">
        <f t="shared" si="50"/>
        <v>3</v>
      </c>
      <c r="J706" s="48">
        <f t="shared" si="51"/>
        <v>2</v>
      </c>
      <c r="K706" s="48">
        <f t="shared" si="52"/>
        <v>6</v>
      </c>
      <c r="L706" s="39" t="s">
        <v>9</v>
      </c>
      <c r="N706" s="44">
        <v>45989</v>
      </c>
      <c r="O706" s="39">
        <v>3</v>
      </c>
      <c r="P706" s="39">
        <v>2</v>
      </c>
      <c r="Q706" s="39">
        <v>6</v>
      </c>
      <c r="R706" s="39">
        <v>9</v>
      </c>
      <c r="S706" s="51" t="str">
        <f t="shared" si="53"/>
        <v>Promoter</v>
      </c>
    </row>
    <row r="707" ht="14.25" customHeight="1" spans="1:19">
      <c r="A707" s="43" t="s">
        <v>749</v>
      </c>
      <c r="B707" s="43" t="s">
        <v>12</v>
      </c>
      <c r="C707" s="43" t="s">
        <v>22</v>
      </c>
      <c r="D707" s="44">
        <v>45935</v>
      </c>
      <c r="E707" s="44">
        <v>45938</v>
      </c>
      <c r="F707" s="44">
        <v>45943</v>
      </c>
      <c r="G707" s="44">
        <v>45946</v>
      </c>
      <c r="H707" s="45" t="str">
        <f t="shared" si="54"/>
        <v>Delivered</v>
      </c>
      <c r="I707" s="48">
        <f t="shared" ref="I707:I770" si="55">IF(E707&gt;D707,E707-D707,0)</f>
        <v>3</v>
      </c>
      <c r="J707" s="48">
        <f t="shared" ref="J707:J770" si="56">IF(F707&gt;E707,F707-E707,0)</f>
        <v>5</v>
      </c>
      <c r="K707" s="48">
        <f t="shared" ref="K707:K770" si="57">IF(G707&gt;F707,G707-F707,0)</f>
        <v>3</v>
      </c>
      <c r="L707" s="39" t="s">
        <v>9</v>
      </c>
      <c r="N707" s="44">
        <v>45960</v>
      </c>
      <c r="O707" s="39">
        <v>3</v>
      </c>
      <c r="P707" s="39">
        <v>5</v>
      </c>
      <c r="Q707" s="39">
        <v>3</v>
      </c>
      <c r="R707" s="39">
        <v>2</v>
      </c>
      <c r="S707" s="51" t="str">
        <f t="shared" ref="S707:S770" si="58">IF(R707&gt;=9,"Promoter",IF(R707&gt;=7,"Passive","Detractor"))</f>
        <v>Detractor</v>
      </c>
    </row>
    <row r="708" ht="14.25" customHeight="1" spans="1:19">
      <c r="A708" s="43" t="s">
        <v>750</v>
      </c>
      <c r="B708" s="43" t="s">
        <v>14</v>
      </c>
      <c r="C708" s="43" t="s">
        <v>22</v>
      </c>
      <c r="D708" s="44">
        <v>45933</v>
      </c>
      <c r="E708" s="44">
        <v>45937</v>
      </c>
      <c r="F708" s="44">
        <v>45941</v>
      </c>
      <c r="G708" s="44">
        <v>45944</v>
      </c>
      <c r="H708" s="45" t="str">
        <f t="shared" si="54"/>
        <v>Delivered</v>
      </c>
      <c r="I708" s="48">
        <f t="shared" si="55"/>
        <v>4</v>
      </c>
      <c r="J708" s="48">
        <f t="shared" si="56"/>
        <v>4</v>
      </c>
      <c r="K708" s="48">
        <f t="shared" si="57"/>
        <v>3</v>
      </c>
      <c r="L708" s="39" t="s">
        <v>9</v>
      </c>
      <c r="N708" s="44">
        <v>45964</v>
      </c>
      <c r="O708" s="39">
        <v>4</v>
      </c>
      <c r="P708" s="39">
        <v>4</v>
      </c>
      <c r="Q708" s="39">
        <v>3</v>
      </c>
      <c r="R708" s="39">
        <v>6</v>
      </c>
      <c r="S708" s="51" t="str">
        <f t="shared" si="58"/>
        <v>Detractor</v>
      </c>
    </row>
    <row r="709" ht="14.25" customHeight="1" spans="1:19">
      <c r="A709" s="43" t="s">
        <v>751</v>
      </c>
      <c r="B709" s="43" t="s">
        <v>13</v>
      </c>
      <c r="C709" s="43" t="s">
        <v>21</v>
      </c>
      <c r="D709" s="44">
        <v>45960</v>
      </c>
      <c r="E709" s="44">
        <v>45962</v>
      </c>
      <c r="F709" s="44">
        <v>45967</v>
      </c>
      <c r="G709" s="44">
        <v>45969</v>
      </c>
      <c r="H709" s="45" t="str">
        <f t="shared" ref="H709:H772" si="59">IF(G709&lt;&gt;"","Delivered",IF(F709&lt;&gt;"","Booked",IF(E709&lt;&gt;"","Pre-Booked",IF(D709&lt;&gt;"","Cancelled",""))))</f>
        <v>Delivered</v>
      </c>
      <c r="I709" s="48">
        <f t="shared" si="55"/>
        <v>2</v>
      </c>
      <c r="J709" s="48">
        <f t="shared" si="56"/>
        <v>5</v>
      </c>
      <c r="K709" s="48">
        <f t="shared" si="57"/>
        <v>2</v>
      </c>
      <c r="L709" s="39" t="s">
        <v>10</v>
      </c>
      <c r="M709" s="39" t="s">
        <v>49</v>
      </c>
      <c r="O709" s="39">
        <v>2</v>
      </c>
      <c r="P709" s="39">
        <v>5</v>
      </c>
      <c r="Q709" s="39">
        <v>2</v>
      </c>
      <c r="S709" s="51" t="str">
        <f t="shared" si="58"/>
        <v>Detractor</v>
      </c>
    </row>
    <row r="710" ht="14.25" customHeight="1" spans="1:19">
      <c r="A710" s="43" t="s">
        <v>752</v>
      </c>
      <c r="B710" s="43" t="s">
        <v>11</v>
      </c>
      <c r="C710" s="43" t="s">
        <v>21</v>
      </c>
      <c r="D710" s="44">
        <v>45940</v>
      </c>
      <c r="E710" s="44">
        <v>45945</v>
      </c>
      <c r="F710" s="44">
        <v>45948</v>
      </c>
      <c r="G710" s="44">
        <v>45953</v>
      </c>
      <c r="H710" s="45" t="str">
        <f t="shared" si="59"/>
        <v>Delivered</v>
      </c>
      <c r="I710" s="48">
        <f t="shared" si="55"/>
        <v>5</v>
      </c>
      <c r="J710" s="48">
        <f t="shared" si="56"/>
        <v>3</v>
      </c>
      <c r="K710" s="48">
        <f t="shared" si="57"/>
        <v>5</v>
      </c>
      <c r="L710" s="39" t="s">
        <v>9</v>
      </c>
      <c r="N710" s="44">
        <v>45968</v>
      </c>
      <c r="O710" s="39">
        <v>5</v>
      </c>
      <c r="P710" s="39">
        <v>3</v>
      </c>
      <c r="Q710" s="39">
        <v>5</v>
      </c>
      <c r="R710" s="39">
        <v>2</v>
      </c>
      <c r="S710" s="51" t="str">
        <f t="shared" si="58"/>
        <v>Detractor</v>
      </c>
    </row>
    <row r="711" ht="14.25" customHeight="1" spans="1:19">
      <c r="A711" s="43" t="s">
        <v>753</v>
      </c>
      <c r="B711" s="43" t="s">
        <v>13</v>
      </c>
      <c r="C711" s="43" t="s">
        <v>22</v>
      </c>
      <c r="D711" s="44">
        <v>45941</v>
      </c>
      <c r="E711" s="44">
        <v>45944</v>
      </c>
      <c r="F711" s="44">
        <v>45948</v>
      </c>
      <c r="G711" s="44">
        <v>45950</v>
      </c>
      <c r="H711" s="45" t="str">
        <f t="shared" si="59"/>
        <v>Delivered</v>
      </c>
      <c r="I711" s="48">
        <f t="shared" si="55"/>
        <v>3</v>
      </c>
      <c r="J711" s="48">
        <f t="shared" si="56"/>
        <v>4</v>
      </c>
      <c r="K711" s="48">
        <f t="shared" si="57"/>
        <v>2</v>
      </c>
      <c r="L711" s="39" t="s">
        <v>9</v>
      </c>
      <c r="N711" s="44">
        <v>45962</v>
      </c>
      <c r="O711" s="39">
        <v>3</v>
      </c>
      <c r="P711" s="39">
        <v>4</v>
      </c>
      <c r="Q711" s="39">
        <v>2</v>
      </c>
      <c r="R711" s="39">
        <v>6</v>
      </c>
      <c r="S711" s="51" t="str">
        <f t="shared" si="58"/>
        <v>Detractor</v>
      </c>
    </row>
    <row r="712" ht="14.25" customHeight="1" spans="1:19">
      <c r="A712" s="43" t="s">
        <v>754</v>
      </c>
      <c r="B712" s="43" t="s">
        <v>14</v>
      </c>
      <c r="C712" s="43" t="s">
        <v>22</v>
      </c>
      <c r="D712" s="44">
        <v>45954</v>
      </c>
      <c r="E712" s="44">
        <v>45958</v>
      </c>
      <c r="F712" s="44">
        <v>45960</v>
      </c>
      <c r="G712" s="44">
        <v>45963</v>
      </c>
      <c r="H712" s="45" t="str">
        <f t="shared" si="59"/>
        <v>Delivered</v>
      </c>
      <c r="I712" s="48">
        <f t="shared" si="55"/>
        <v>4</v>
      </c>
      <c r="J712" s="48">
        <f t="shared" si="56"/>
        <v>2</v>
      </c>
      <c r="K712" s="48">
        <f t="shared" si="57"/>
        <v>3</v>
      </c>
      <c r="L712" s="39" t="s">
        <v>9</v>
      </c>
      <c r="N712" s="44">
        <v>45988</v>
      </c>
      <c r="O712" s="39">
        <v>4</v>
      </c>
      <c r="P712" s="39">
        <v>2</v>
      </c>
      <c r="Q712" s="39">
        <v>3</v>
      </c>
      <c r="R712" s="39">
        <v>8</v>
      </c>
      <c r="S712" s="51" t="str">
        <f t="shared" si="58"/>
        <v>Passive</v>
      </c>
    </row>
    <row r="713" ht="14.25" customHeight="1" spans="1:19">
      <c r="A713" s="43" t="s">
        <v>755</v>
      </c>
      <c r="B713" s="43" t="s">
        <v>14</v>
      </c>
      <c r="C713" s="43" t="s">
        <v>22</v>
      </c>
      <c r="D713" s="44">
        <v>45944</v>
      </c>
      <c r="E713" s="44">
        <v>45946</v>
      </c>
      <c r="F713" s="44">
        <v>45947</v>
      </c>
      <c r="G713" s="44">
        <v>45953</v>
      </c>
      <c r="H713" s="45" t="str">
        <f t="shared" si="59"/>
        <v>Delivered</v>
      </c>
      <c r="I713" s="48">
        <f t="shared" si="55"/>
        <v>2</v>
      </c>
      <c r="J713" s="48">
        <f t="shared" si="56"/>
        <v>1</v>
      </c>
      <c r="K713" s="48">
        <f t="shared" si="57"/>
        <v>6</v>
      </c>
      <c r="L713" s="39" t="s">
        <v>9</v>
      </c>
      <c r="N713" s="44">
        <v>45973</v>
      </c>
      <c r="O713" s="39">
        <v>2</v>
      </c>
      <c r="P713" s="39">
        <v>1</v>
      </c>
      <c r="Q713" s="39">
        <v>6</v>
      </c>
      <c r="R713" s="39">
        <v>2</v>
      </c>
      <c r="S713" s="51" t="str">
        <f t="shared" si="58"/>
        <v>Detractor</v>
      </c>
    </row>
    <row r="714" ht="14.25" customHeight="1" spans="1:19">
      <c r="A714" s="43" t="s">
        <v>756</v>
      </c>
      <c r="B714" s="43" t="s">
        <v>13</v>
      </c>
      <c r="C714" s="43" t="s">
        <v>21</v>
      </c>
      <c r="D714" s="44">
        <v>45936</v>
      </c>
      <c r="E714" s="44">
        <v>45937</v>
      </c>
      <c r="F714" s="44">
        <v>45942</v>
      </c>
      <c r="G714" s="44">
        <v>45946</v>
      </c>
      <c r="H714" s="45" t="str">
        <f t="shared" si="59"/>
        <v>Delivered</v>
      </c>
      <c r="I714" s="48">
        <f t="shared" si="55"/>
        <v>1</v>
      </c>
      <c r="J714" s="48">
        <f t="shared" si="56"/>
        <v>5</v>
      </c>
      <c r="K714" s="48">
        <f t="shared" si="57"/>
        <v>4</v>
      </c>
      <c r="L714" s="39" t="s">
        <v>9</v>
      </c>
      <c r="N714" s="44">
        <v>45976</v>
      </c>
      <c r="O714" s="39">
        <v>1</v>
      </c>
      <c r="P714" s="39">
        <v>5</v>
      </c>
      <c r="Q714" s="39">
        <v>4</v>
      </c>
      <c r="R714" s="39">
        <v>5</v>
      </c>
      <c r="S714" s="51" t="str">
        <f t="shared" si="58"/>
        <v>Detractor</v>
      </c>
    </row>
    <row r="715" ht="14.25" customHeight="1" spans="1:19">
      <c r="A715" s="43" t="s">
        <v>757</v>
      </c>
      <c r="B715" s="43" t="s">
        <v>13</v>
      </c>
      <c r="C715" s="43" t="s">
        <v>22</v>
      </c>
      <c r="D715" s="44">
        <v>45937</v>
      </c>
      <c r="E715" s="44">
        <v>45939</v>
      </c>
      <c r="F715" s="44">
        <v>45942</v>
      </c>
      <c r="G715" s="44">
        <v>45949</v>
      </c>
      <c r="H715" s="45" t="str">
        <f t="shared" si="59"/>
        <v>Delivered</v>
      </c>
      <c r="I715" s="48">
        <f t="shared" si="55"/>
        <v>2</v>
      </c>
      <c r="J715" s="48">
        <f t="shared" si="56"/>
        <v>3</v>
      </c>
      <c r="K715" s="48">
        <f t="shared" si="57"/>
        <v>7</v>
      </c>
      <c r="L715" s="39" t="s">
        <v>9</v>
      </c>
      <c r="N715" s="44">
        <v>45964</v>
      </c>
      <c r="O715" s="39">
        <v>2</v>
      </c>
      <c r="P715" s="39">
        <v>3</v>
      </c>
      <c r="Q715" s="39">
        <v>7</v>
      </c>
      <c r="R715" s="39">
        <v>8</v>
      </c>
      <c r="S715" s="51" t="str">
        <f t="shared" si="58"/>
        <v>Passive</v>
      </c>
    </row>
    <row r="716" ht="14.25" customHeight="1" spans="1:19">
      <c r="A716" s="43" t="s">
        <v>758</v>
      </c>
      <c r="B716" s="43" t="s">
        <v>13</v>
      </c>
      <c r="C716" s="43" t="s">
        <v>21</v>
      </c>
      <c r="D716" s="44">
        <v>45935</v>
      </c>
      <c r="E716" s="44">
        <v>45936</v>
      </c>
      <c r="F716" s="44">
        <v>45937</v>
      </c>
      <c r="G716" s="44">
        <v>45944</v>
      </c>
      <c r="H716" s="45" t="str">
        <f t="shared" si="59"/>
        <v>Delivered</v>
      </c>
      <c r="I716" s="48">
        <f t="shared" si="55"/>
        <v>1</v>
      </c>
      <c r="J716" s="48">
        <f t="shared" si="56"/>
        <v>1</v>
      </c>
      <c r="K716" s="48">
        <f t="shared" si="57"/>
        <v>7</v>
      </c>
      <c r="L716" s="39" t="s">
        <v>9</v>
      </c>
      <c r="N716" s="44">
        <v>45964</v>
      </c>
      <c r="O716" s="39">
        <v>1</v>
      </c>
      <c r="P716" s="39">
        <v>1</v>
      </c>
      <c r="Q716" s="39">
        <v>7</v>
      </c>
      <c r="R716" s="39">
        <v>7</v>
      </c>
      <c r="S716" s="51" t="str">
        <f t="shared" si="58"/>
        <v>Passive</v>
      </c>
    </row>
    <row r="717" ht="14.25" customHeight="1" spans="1:19">
      <c r="A717" s="43" t="s">
        <v>759</v>
      </c>
      <c r="B717" s="43" t="s">
        <v>12</v>
      </c>
      <c r="C717" s="43" t="s">
        <v>21</v>
      </c>
      <c r="D717" s="44">
        <v>45956</v>
      </c>
      <c r="E717" s="44">
        <v>45960</v>
      </c>
      <c r="F717" s="44">
        <v>45961</v>
      </c>
      <c r="G717" s="44">
        <v>45963</v>
      </c>
      <c r="H717" s="45" t="str">
        <f t="shared" si="59"/>
        <v>Delivered</v>
      </c>
      <c r="I717" s="48">
        <f t="shared" si="55"/>
        <v>4</v>
      </c>
      <c r="J717" s="48">
        <f t="shared" si="56"/>
        <v>1</v>
      </c>
      <c r="K717" s="48">
        <f t="shared" si="57"/>
        <v>2</v>
      </c>
      <c r="L717" s="39" t="s">
        <v>9</v>
      </c>
      <c r="N717" s="44">
        <v>45993</v>
      </c>
      <c r="O717" s="39">
        <v>4</v>
      </c>
      <c r="P717" s="39">
        <v>1</v>
      </c>
      <c r="Q717" s="39">
        <v>2</v>
      </c>
      <c r="R717" s="39">
        <v>7</v>
      </c>
      <c r="S717" s="51" t="str">
        <f t="shared" si="58"/>
        <v>Passive</v>
      </c>
    </row>
    <row r="718" ht="14.25" customHeight="1" spans="1:19">
      <c r="A718" s="43" t="s">
        <v>760</v>
      </c>
      <c r="B718" s="43" t="s">
        <v>11</v>
      </c>
      <c r="C718" s="43" t="s">
        <v>22</v>
      </c>
      <c r="D718" s="44">
        <v>45948</v>
      </c>
      <c r="E718" s="44">
        <v>45950</v>
      </c>
      <c r="F718" s="44">
        <v>45954</v>
      </c>
      <c r="G718" s="44">
        <v>45958</v>
      </c>
      <c r="H718" s="45" t="str">
        <f t="shared" si="59"/>
        <v>Delivered</v>
      </c>
      <c r="I718" s="48">
        <f t="shared" si="55"/>
        <v>2</v>
      </c>
      <c r="J718" s="48">
        <f t="shared" si="56"/>
        <v>4</v>
      </c>
      <c r="K718" s="48">
        <f t="shared" si="57"/>
        <v>4</v>
      </c>
      <c r="L718" s="39" t="s">
        <v>9</v>
      </c>
      <c r="N718" s="44">
        <v>45969</v>
      </c>
      <c r="O718" s="39">
        <v>2</v>
      </c>
      <c r="P718" s="39">
        <v>4</v>
      </c>
      <c r="Q718" s="39">
        <v>4</v>
      </c>
      <c r="R718" s="39">
        <v>9</v>
      </c>
      <c r="S718" s="51" t="str">
        <f t="shared" si="58"/>
        <v>Promoter</v>
      </c>
    </row>
    <row r="719" ht="14.25" customHeight="1" spans="1:19">
      <c r="A719" s="43" t="s">
        <v>761</v>
      </c>
      <c r="B719" s="43" t="s">
        <v>13</v>
      </c>
      <c r="C719" s="43" t="s">
        <v>21</v>
      </c>
      <c r="D719" s="44">
        <v>45959</v>
      </c>
      <c r="E719" s="44">
        <v>45963</v>
      </c>
      <c r="F719" s="44">
        <v>45965</v>
      </c>
      <c r="G719" s="44">
        <v>45967</v>
      </c>
      <c r="H719" s="45" t="str">
        <f t="shared" si="59"/>
        <v>Delivered</v>
      </c>
      <c r="I719" s="48">
        <f t="shared" si="55"/>
        <v>4</v>
      </c>
      <c r="J719" s="48">
        <f t="shared" si="56"/>
        <v>2</v>
      </c>
      <c r="K719" s="48">
        <f t="shared" si="57"/>
        <v>2</v>
      </c>
      <c r="L719" s="39" t="s">
        <v>9</v>
      </c>
      <c r="N719" s="44">
        <v>45977</v>
      </c>
      <c r="O719" s="39">
        <v>4</v>
      </c>
      <c r="P719" s="39">
        <v>2</v>
      </c>
      <c r="Q719" s="39">
        <v>2</v>
      </c>
      <c r="R719" s="39">
        <v>7</v>
      </c>
      <c r="S719" s="51" t="str">
        <f t="shared" si="58"/>
        <v>Passive</v>
      </c>
    </row>
    <row r="720" ht="14.25" customHeight="1" spans="1:19">
      <c r="A720" s="43" t="s">
        <v>762</v>
      </c>
      <c r="B720" s="43" t="s">
        <v>13</v>
      </c>
      <c r="C720" s="43" t="s">
        <v>21</v>
      </c>
      <c r="D720" s="44">
        <v>45942</v>
      </c>
      <c r="E720" s="44">
        <v>45943</v>
      </c>
      <c r="F720" s="44">
        <v>45944</v>
      </c>
      <c r="G720" s="44">
        <v>45951</v>
      </c>
      <c r="H720" s="45" t="str">
        <f t="shared" si="59"/>
        <v>Delivered</v>
      </c>
      <c r="I720" s="48">
        <f t="shared" si="55"/>
        <v>1</v>
      </c>
      <c r="J720" s="48">
        <f t="shared" si="56"/>
        <v>1</v>
      </c>
      <c r="K720" s="48">
        <f t="shared" si="57"/>
        <v>7</v>
      </c>
      <c r="L720" s="39" t="s">
        <v>9</v>
      </c>
      <c r="N720" s="44">
        <v>45975</v>
      </c>
      <c r="O720" s="39">
        <v>1</v>
      </c>
      <c r="P720" s="39">
        <v>1</v>
      </c>
      <c r="Q720" s="39">
        <v>7</v>
      </c>
      <c r="R720" s="39">
        <v>2</v>
      </c>
      <c r="S720" s="51" t="str">
        <f t="shared" si="58"/>
        <v>Detractor</v>
      </c>
    </row>
    <row r="721" ht="14.25" customHeight="1" spans="1:19">
      <c r="A721" s="43" t="s">
        <v>763</v>
      </c>
      <c r="B721" s="43" t="s">
        <v>13</v>
      </c>
      <c r="C721" s="43" t="s">
        <v>22</v>
      </c>
      <c r="D721" s="44">
        <v>45947</v>
      </c>
      <c r="E721" s="44">
        <v>45950</v>
      </c>
      <c r="F721" s="44">
        <v>45953</v>
      </c>
      <c r="G721" s="44">
        <v>45958</v>
      </c>
      <c r="H721" s="45" t="str">
        <f t="shared" si="59"/>
        <v>Delivered</v>
      </c>
      <c r="I721" s="48">
        <f t="shared" si="55"/>
        <v>3</v>
      </c>
      <c r="J721" s="48">
        <f t="shared" si="56"/>
        <v>3</v>
      </c>
      <c r="K721" s="48">
        <f t="shared" si="57"/>
        <v>5</v>
      </c>
      <c r="L721" s="39" t="s">
        <v>9</v>
      </c>
      <c r="N721" s="44">
        <v>45976</v>
      </c>
      <c r="O721" s="39">
        <v>3</v>
      </c>
      <c r="P721" s="39">
        <v>3</v>
      </c>
      <c r="Q721" s="39">
        <v>5</v>
      </c>
      <c r="R721" s="39">
        <v>7</v>
      </c>
      <c r="S721" s="51" t="str">
        <f t="shared" si="58"/>
        <v>Passive</v>
      </c>
    </row>
    <row r="722" ht="14.25" customHeight="1" spans="1:19">
      <c r="A722" s="43" t="s">
        <v>764</v>
      </c>
      <c r="B722" s="43" t="s">
        <v>14</v>
      </c>
      <c r="C722" s="43" t="s">
        <v>22</v>
      </c>
      <c r="D722" s="44">
        <v>45947</v>
      </c>
      <c r="E722" s="44">
        <v>45950</v>
      </c>
      <c r="F722" s="44">
        <v>45955</v>
      </c>
      <c r="G722" s="44">
        <v>45962</v>
      </c>
      <c r="H722" s="45" t="str">
        <f t="shared" si="59"/>
        <v>Delivered</v>
      </c>
      <c r="I722" s="48">
        <f t="shared" si="55"/>
        <v>3</v>
      </c>
      <c r="J722" s="48">
        <f t="shared" si="56"/>
        <v>5</v>
      </c>
      <c r="K722" s="48">
        <f t="shared" si="57"/>
        <v>7</v>
      </c>
      <c r="L722" s="39" t="s">
        <v>9</v>
      </c>
      <c r="N722" s="44">
        <v>45978</v>
      </c>
      <c r="O722" s="39">
        <v>3</v>
      </c>
      <c r="P722" s="39">
        <v>5</v>
      </c>
      <c r="Q722" s="39">
        <v>7</v>
      </c>
      <c r="R722" s="39">
        <v>4</v>
      </c>
      <c r="S722" s="51" t="str">
        <f t="shared" si="58"/>
        <v>Detractor</v>
      </c>
    </row>
    <row r="723" ht="14.25" customHeight="1" spans="1:19">
      <c r="A723" s="43" t="s">
        <v>765</v>
      </c>
      <c r="B723" s="43" t="s">
        <v>14</v>
      </c>
      <c r="C723" s="43" t="s">
        <v>22</v>
      </c>
      <c r="D723" s="44">
        <v>45960</v>
      </c>
      <c r="E723" s="44">
        <v>45961</v>
      </c>
      <c r="F723" s="44">
        <v>45966</v>
      </c>
      <c r="G723" s="44">
        <v>45973</v>
      </c>
      <c r="H723" s="45" t="str">
        <f t="shared" si="59"/>
        <v>Delivered</v>
      </c>
      <c r="I723" s="48">
        <f t="shared" si="55"/>
        <v>1</v>
      </c>
      <c r="J723" s="48">
        <f t="shared" si="56"/>
        <v>5</v>
      </c>
      <c r="K723" s="48">
        <f t="shared" si="57"/>
        <v>7</v>
      </c>
      <c r="L723" s="39" t="s">
        <v>9</v>
      </c>
      <c r="N723" s="44">
        <v>45988</v>
      </c>
      <c r="O723" s="39">
        <v>1</v>
      </c>
      <c r="P723" s="39">
        <v>5</v>
      </c>
      <c r="Q723" s="39">
        <v>7</v>
      </c>
      <c r="R723" s="39">
        <v>6</v>
      </c>
      <c r="S723" s="51" t="str">
        <f t="shared" si="58"/>
        <v>Detractor</v>
      </c>
    </row>
    <row r="724" ht="14.25" customHeight="1" spans="1:19">
      <c r="A724" s="43" t="s">
        <v>766</v>
      </c>
      <c r="B724" s="43" t="s">
        <v>12</v>
      </c>
      <c r="C724" s="43" t="s">
        <v>21</v>
      </c>
      <c r="D724" s="44">
        <v>45939</v>
      </c>
      <c r="E724" s="44">
        <v>45944</v>
      </c>
      <c r="F724" s="44">
        <v>45949</v>
      </c>
      <c r="G724" s="44">
        <v>45953</v>
      </c>
      <c r="H724" s="45" t="str">
        <f t="shared" si="59"/>
        <v>Delivered</v>
      </c>
      <c r="I724" s="48">
        <f t="shared" si="55"/>
        <v>5</v>
      </c>
      <c r="J724" s="48">
        <f t="shared" si="56"/>
        <v>5</v>
      </c>
      <c r="K724" s="48">
        <f t="shared" si="57"/>
        <v>4</v>
      </c>
      <c r="L724" s="39" t="s">
        <v>9</v>
      </c>
      <c r="N724" s="44">
        <v>45981</v>
      </c>
      <c r="O724" s="39">
        <v>5</v>
      </c>
      <c r="P724" s="39">
        <v>5</v>
      </c>
      <c r="Q724" s="39">
        <v>4</v>
      </c>
      <c r="R724" s="39">
        <v>3</v>
      </c>
      <c r="S724" s="51" t="str">
        <f t="shared" si="58"/>
        <v>Detractor</v>
      </c>
    </row>
    <row r="725" ht="14.25" customHeight="1" spans="1:19">
      <c r="A725" s="43" t="s">
        <v>767</v>
      </c>
      <c r="B725" s="43" t="s">
        <v>11</v>
      </c>
      <c r="C725" s="43" t="s">
        <v>21</v>
      </c>
      <c r="D725" s="44">
        <v>45957</v>
      </c>
      <c r="E725" s="44">
        <v>45962</v>
      </c>
      <c r="F725" s="44">
        <v>45966</v>
      </c>
      <c r="G725" s="44">
        <v>45968</v>
      </c>
      <c r="H725" s="45" t="str">
        <f t="shared" si="59"/>
        <v>Delivered</v>
      </c>
      <c r="I725" s="48">
        <f t="shared" si="55"/>
        <v>5</v>
      </c>
      <c r="J725" s="48">
        <f t="shared" si="56"/>
        <v>4</v>
      </c>
      <c r="K725" s="48">
        <f t="shared" si="57"/>
        <v>2</v>
      </c>
      <c r="L725" s="39" t="s">
        <v>9</v>
      </c>
      <c r="N725" s="44">
        <v>45983</v>
      </c>
      <c r="O725" s="39">
        <v>5</v>
      </c>
      <c r="P725" s="39">
        <v>4</v>
      </c>
      <c r="Q725" s="39">
        <v>2</v>
      </c>
      <c r="R725" s="39">
        <v>4</v>
      </c>
      <c r="S725" s="51" t="str">
        <f t="shared" si="58"/>
        <v>Detractor</v>
      </c>
    </row>
    <row r="726" ht="14.25" customHeight="1" spans="1:19">
      <c r="A726" s="43" t="s">
        <v>768</v>
      </c>
      <c r="B726" s="43" t="s">
        <v>12</v>
      </c>
      <c r="C726" s="43" t="s">
        <v>21</v>
      </c>
      <c r="D726" s="44">
        <v>45936</v>
      </c>
      <c r="E726" s="44">
        <v>45939</v>
      </c>
      <c r="F726" s="44">
        <v>45942</v>
      </c>
      <c r="G726" s="44">
        <v>45945</v>
      </c>
      <c r="H726" s="45" t="str">
        <f t="shared" si="59"/>
        <v>Delivered</v>
      </c>
      <c r="I726" s="48">
        <f t="shared" si="55"/>
        <v>3</v>
      </c>
      <c r="J726" s="48">
        <f t="shared" si="56"/>
        <v>3</v>
      </c>
      <c r="K726" s="48">
        <f t="shared" si="57"/>
        <v>3</v>
      </c>
      <c r="L726" s="39" t="s">
        <v>9</v>
      </c>
      <c r="N726" s="44">
        <v>45970</v>
      </c>
      <c r="O726" s="39">
        <v>3</v>
      </c>
      <c r="P726" s="39">
        <v>3</v>
      </c>
      <c r="Q726" s="39">
        <v>3</v>
      </c>
      <c r="R726" s="39">
        <v>10</v>
      </c>
      <c r="S726" s="51" t="str">
        <f t="shared" si="58"/>
        <v>Promoter</v>
      </c>
    </row>
    <row r="727" ht="14.25" customHeight="1" spans="1:19">
      <c r="A727" s="43" t="s">
        <v>769</v>
      </c>
      <c r="B727" s="43" t="s">
        <v>11</v>
      </c>
      <c r="C727" s="43" t="s">
        <v>21</v>
      </c>
      <c r="D727" s="44">
        <v>45939</v>
      </c>
      <c r="E727" s="44">
        <v>45942</v>
      </c>
      <c r="F727" s="44">
        <v>45943</v>
      </c>
      <c r="G727" s="44">
        <v>45949</v>
      </c>
      <c r="H727" s="45" t="str">
        <f t="shared" si="59"/>
        <v>Delivered</v>
      </c>
      <c r="I727" s="48">
        <f t="shared" si="55"/>
        <v>3</v>
      </c>
      <c r="J727" s="48">
        <f t="shared" si="56"/>
        <v>1</v>
      </c>
      <c r="K727" s="48">
        <f t="shared" si="57"/>
        <v>6</v>
      </c>
      <c r="L727" s="39" t="s">
        <v>9</v>
      </c>
      <c r="N727" s="44">
        <v>45961</v>
      </c>
      <c r="O727" s="39">
        <v>3</v>
      </c>
      <c r="P727" s="39">
        <v>1</v>
      </c>
      <c r="Q727" s="39">
        <v>6</v>
      </c>
      <c r="R727" s="39">
        <v>8</v>
      </c>
      <c r="S727" s="51" t="str">
        <f t="shared" si="58"/>
        <v>Passive</v>
      </c>
    </row>
    <row r="728" ht="14.25" customHeight="1" spans="1:19">
      <c r="A728" s="43" t="s">
        <v>770</v>
      </c>
      <c r="B728" s="43" t="s">
        <v>14</v>
      </c>
      <c r="C728" s="43" t="s">
        <v>22</v>
      </c>
      <c r="D728" s="44">
        <v>45960</v>
      </c>
      <c r="E728" s="44">
        <v>45962</v>
      </c>
      <c r="F728" s="44">
        <v>45965</v>
      </c>
      <c r="G728" s="44">
        <v>45968</v>
      </c>
      <c r="H728" s="45" t="str">
        <f t="shared" si="59"/>
        <v>Delivered</v>
      </c>
      <c r="I728" s="48">
        <f t="shared" si="55"/>
        <v>2</v>
      </c>
      <c r="J728" s="48">
        <f t="shared" si="56"/>
        <v>3</v>
      </c>
      <c r="K728" s="48">
        <f t="shared" si="57"/>
        <v>3</v>
      </c>
      <c r="L728" s="39" t="s">
        <v>9</v>
      </c>
      <c r="N728" s="44">
        <v>45982</v>
      </c>
      <c r="O728" s="39">
        <v>2</v>
      </c>
      <c r="P728" s="39">
        <v>3</v>
      </c>
      <c r="Q728" s="39">
        <v>3</v>
      </c>
      <c r="R728" s="39">
        <v>10</v>
      </c>
      <c r="S728" s="51" t="str">
        <f t="shared" si="58"/>
        <v>Promoter</v>
      </c>
    </row>
    <row r="729" ht="14.25" customHeight="1" spans="1:19">
      <c r="A729" s="43" t="s">
        <v>771</v>
      </c>
      <c r="B729" s="43" t="s">
        <v>14</v>
      </c>
      <c r="C729" s="43" t="s">
        <v>20</v>
      </c>
      <c r="D729" s="44">
        <v>45957</v>
      </c>
      <c r="H729" s="45" t="str">
        <f t="shared" si="59"/>
        <v>Cancelled</v>
      </c>
      <c r="I729" s="48">
        <f t="shared" si="55"/>
        <v>0</v>
      </c>
      <c r="J729" s="48">
        <f t="shared" si="56"/>
        <v>0</v>
      </c>
      <c r="K729" s="48">
        <f t="shared" si="57"/>
        <v>0</v>
      </c>
      <c r="L729" s="39" t="s">
        <v>10</v>
      </c>
      <c r="M729" s="39" t="s">
        <v>49</v>
      </c>
      <c r="S729" s="51" t="str">
        <f t="shared" si="58"/>
        <v>Detractor</v>
      </c>
    </row>
    <row r="730" ht="14.25" customHeight="1" spans="1:19">
      <c r="A730" s="43" t="s">
        <v>772</v>
      </c>
      <c r="B730" s="43" t="s">
        <v>14</v>
      </c>
      <c r="C730" s="43" t="s">
        <v>22</v>
      </c>
      <c r="D730" s="44">
        <v>45961</v>
      </c>
      <c r="E730" s="44">
        <v>45963</v>
      </c>
      <c r="F730" s="44">
        <v>45967</v>
      </c>
      <c r="G730" s="44">
        <v>45972</v>
      </c>
      <c r="H730" s="45" t="str">
        <f t="shared" si="59"/>
        <v>Delivered</v>
      </c>
      <c r="I730" s="48">
        <f t="shared" si="55"/>
        <v>2</v>
      </c>
      <c r="J730" s="48">
        <f t="shared" si="56"/>
        <v>4</v>
      </c>
      <c r="K730" s="48">
        <f t="shared" si="57"/>
        <v>5</v>
      </c>
      <c r="L730" s="39" t="s">
        <v>9</v>
      </c>
      <c r="N730" s="44">
        <v>46001</v>
      </c>
      <c r="O730" s="39">
        <v>2</v>
      </c>
      <c r="P730" s="39">
        <v>4</v>
      </c>
      <c r="Q730" s="39">
        <v>5</v>
      </c>
      <c r="R730" s="39">
        <v>3</v>
      </c>
      <c r="S730" s="51" t="str">
        <f t="shared" si="58"/>
        <v>Detractor</v>
      </c>
    </row>
    <row r="731" ht="14.25" customHeight="1" spans="1:19">
      <c r="A731" s="43" t="s">
        <v>773</v>
      </c>
      <c r="B731" s="43" t="s">
        <v>12</v>
      </c>
      <c r="C731" s="43" t="s">
        <v>22</v>
      </c>
      <c r="D731" s="44">
        <v>45946</v>
      </c>
      <c r="E731" s="44">
        <v>45949</v>
      </c>
      <c r="F731" s="44">
        <v>45953</v>
      </c>
      <c r="G731" s="44">
        <v>45958</v>
      </c>
      <c r="H731" s="45" t="str">
        <f t="shared" si="59"/>
        <v>Delivered</v>
      </c>
      <c r="I731" s="48">
        <f t="shared" si="55"/>
        <v>3</v>
      </c>
      <c r="J731" s="48">
        <f t="shared" si="56"/>
        <v>4</v>
      </c>
      <c r="K731" s="48">
        <f t="shared" si="57"/>
        <v>5</v>
      </c>
      <c r="L731" s="39" t="s">
        <v>9</v>
      </c>
      <c r="N731" s="44">
        <v>45981</v>
      </c>
      <c r="O731" s="39">
        <v>3</v>
      </c>
      <c r="P731" s="39">
        <v>4</v>
      </c>
      <c r="Q731" s="39">
        <v>5</v>
      </c>
      <c r="R731" s="39">
        <v>9</v>
      </c>
      <c r="S731" s="51" t="str">
        <f t="shared" si="58"/>
        <v>Promoter</v>
      </c>
    </row>
    <row r="732" ht="14.25" customHeight="1" spans="1:19">
      <c r="A732" s="43" t="s">
        <v>774</v>
      </c>
      <c r="B732" s="43" t="s">
        <v>13</v>
      </c>
      <c r="C732" s="43" t="s">
        <v>22</v>
      </c>
      <c r="D732" s="44">
        <v>45961</v>
      </c>
      <c r="E732" s="44">
        <v>45966</v>
      </c>
      <c r="F732" s="44">
        <v>45968</v>
      </c>
      <c r="G732" s="44">
        <v>45970</v>
      </c>
      <c r="H732" s="45" t="str">
        <f t="shared" si="59"/>
        <v>Delivered</v>
      </c>
      <c r="I732" s="48">
        <f t="shared" si="55"/>
        <v>5</v>
      </c>
      <c r="J732" s="48">
        <f t="shared" si="56"/>
        <v>2</v>
      </c>
      <c r="K732" s="48">
        <f t="shared" si="57"/>
        <v>2</v>
      </c>
      <c r="L732" s="39" t="s">
        <v>9</v>
      </c>
      <c r="N732" s="44">
        <v>46000</v>
      </c>
      <c r="O732" s="39">
        <v>5</v>
      </c>
      <c r="P732" s="39">
        <v>2</v>
      </c>
      <c r="Q732" s="39">
        <v>2</v>
      </c>
      <c r="R732" s="39">
        <v>1</v>
      </c>
      <c r="S732" s="51" t="str">
        <f t="shared" si="58"/>
        <v>Detractor</v>
      </c>
    </row>
    <row r="733" ht="14.25" customHeight="1" spans="1:19">
      <c r="A733" s="43" t="s">
        <v>775</v>
      </c>
      <c r="B733" s="43" t="s">
        <v>13</v>
      </c>
      <c r="C733" s="43" t="s">
        <v>22</v>
      </c>
      <c r="D733" s="44">
        <v>45956</v>
      </c>
      <c r="E733" s="44">
        <v>45958</v>
      </c>
      <c r="F733" s="44">
        <v>45961</v>
      </c>
      <c r="G733" s="44">
        <v>45964</v>
      </c>
      <c r="H733" s="45" t="str">
        <f t="shared" si="59"/>
        <v>Delivered</v>
      </c>
      <c r="I733" s="48">
        <f t="shared" si="55"/>
        <v>2</v>
      </c>
      <c r="J733" s="48">
        <f t="shared" si="56"/>
        <v>3</v>
      </c>
      <c r="K733" s="48">
        <f t="shared" si="57"/>
        <v>3</v>
      </c>
      <c r="L733" s="39" t="s">
        <v>9</v>
      </c>
      <c r="N733" s="44">
        <v>45987</v>
      </c>
      <c r="O733" s="39">
        <v>2</v>
      </c>
      <c r="P733" s="39">
        <v>3</v>
      </c>
      <c r="Q733" s="39">
        <v>3</v>
      </c>
      <c r="R733" s="39">
        <v>8</v>
      </c>
      <c r="S733" s="51" t="str">
        <f t="shared" si="58"/>
        <v>Passive</v>
      </c>
    </row>
    <row r="734" ht="14.25" customHeight="1" spans="1:19">
      <c r="A734" s="43" t="s">
        <v>776</v>
      </c>
      <c r="B734" s="43" t="s">
        <v>14</v>
      </c>
      <c r="C734" s="43" t="s">
        <v>22</v>
      </c>
      <c r="D734" s="44">
        <v>45940</v>
      </c>
      <c r="E734" s="44">
        <v>45941</v>
      </c>
      <c r="F734" s="44">
        <v>45946</v>
      </c>
      <c r="G734" s="44">
        <v>45953</v>
      </c>
      <c r="H734" s="45" t="str">
        <f t="shared" si="59"/>
        <v>Delivered</v>
      </c>
      <c r="I734" s="48">
        <f t="shared" si="55"/>
        <v>1</v>
      </c>
      <c r="J734" s="48">
        <f t="shared" si="56"/>
        <v>5</v>
      </c>
      <c r="K734" s="48">
        <f t="shared" si="57"/>
        <v>7</v>
      </c>
      <c r="L734" s="39" t="s">
        <v>9</v>
      </c>
      <c r="N734" s="44">
        <v>45975</v>
      </c>
      <c r="O734" s="39">
        <v>1</v>
      </c>
      <c r="P734" s="39">
        <v>5</v>
      </c>
      <c r="Q734" s="39">
        <v>7</v>
      </c>
      <c r="R734" s="39">
        <v>6</v>
      </c>
      <c r="S734" s="51" t="str">
        <f t="shared" si="58"/>
        <v>Detractor</v>
      </c>
    </row>
    <row r="735" ht="14.25" customHeight="1" spans="1:19">
      <c r="A735" s="43" t="s">
        <v>777</v>
      </c>
      <c r="B735" s="43" t="s">
        <v>13</v>
      </c>
      <c r="C735" s="43" t="s">
        <v>22</v>
      </c>
      <c r="D735" s="44">
        <v>45954</v>
      </c>
      <c r="E735" s="44">
        <v>45956</v>
      </c>
      <c r="F735" s="44">
        <v>45960</v>
      </c>
      <c r="G735" s="44">
        <v>45964</v>
      </c>
      <c r="H735" s="45" t="str">
        <f t="shared" si="59"/>
        <v>Delivered</v>
      </c>
      <c r="I735" s="48">
        <f t="shared" si="55"/>
        <v>2</v>
      </c>
      <c r="J735" s="48">
        <f t="shared" si="56"/>
        <v>4</v>
      </c>
      <c r="K735" s="48">
        <f t="shared" si="57"/>
        <v>4</v>
      </c>
      <c r="L735" s="39" t="s">
        <v>9</v>
      </c>
      <c r="N735" s="44">
        <v>45987</v>
      </c>
      <c r="O735" s="39">
        <v>2</v>
      </c>
      <c r="P735" s="39">
        <v>4</v>
      </c>
      <c r="Q735" s="39">
        <v>4</v>
      </c>
      <c r="R735" s="39">
        <v>4</v>
      </c>
      <c r="S735" s="51" t="str">
        <f t="shared" si="58"/>
        <v>Detractor</v>
      </c>
    </row>
    <row r="736" ht="14.25" customHeight="1" spans="1:19">
      <c r="A736" s="43" t="s">
        <v>778</v>
      </c>
      <c r="B736" s="43" t="s">
        <v>13</v>
      </c>
      <c r="C736" s="43" t="s">
        <v>22</v>
      </c>
      <c r="D736" s="44">
        <v>45958</v>
      </c>
      <c r="E736" s="44">
        <v>45960</v>
      </c>
      <c r="F736" s="44">
        <v>45964</v>
      </c>
      <c r="G736" s="44">
        <v>45966</v>
      </c>
      <c r="H736" s="45" t="str">
        <f t="shared" si="59"/>
        <v>Delivered</v>
      </c>
      <c r="I736" s="48">
        <f t="shared" si="55"/>
        <v>2</v>
      </c>
      <c r="J736" s="48">
        <f t="shared" si="56"/>
        <v>4</v>
      </c>
      <c r="K736" s="48">
        <f t="shared" si="57"/>
        <v>2</v>
      </c>
      <c r="L736" s="39" t="s">
        <v>9</v>
      </c>
      <c r="N736" s="44">
        <v>45991</v>
      </c>
      <c r="O736" s="39">
        <v>2</v>
      </c>
      <c r="P736" s="39">
        <v>4</v>
      </c>
      <c r="Q736" s="39">
        <v>2</v>
      </c>
      <c r="R736" s="39">
        <v>4</v>
      </c>
      <c r="S736" s="51" t="str">
        <f t="shared" si="58"/>
        <v>Detractor</v>
      </c>
    </row>
    <row r="737" ht="14.25" customHeight="1" spans="1:19">
      <c r="A737" s="43" t="s">
        <v>779</v>
      </c>
      <c r="B737" s="43" t="s">
        <v>12</v>
      </c>
      <c r="C737" s="43" t="s">
        <v>21</v>
      </c>
      <c r="D737" s="44">
        <v>45941</v>
      </c>
      <c r="E737" s="44">
        <v>45943</v>
      </c>
      <c r="F737" s="44">
        <v>45945</v>
      </c>
      <c r="G737" s="44">
        <v>45947</v>
      </c>
      <c r="H737" s="45" t="str">
        <f t="shared" si="59"/>
        <v>Delivered</v>
      </c>
      <c r="I737" s="48">
        <f t="shared" si="55"/>
        <v>2</v>
      </c>
      <c r="J737" s="48">
        <f t="shared" si="56"/>
        <v>2</v>
      </c>
      <c r="K737" s="48">
        <f t="shared" si="57"/>
        <v>2</v>
      </c>
      <c r="L737" s="39" t="s">
        <v>9</v>
      </c>
      <c r="N737" s="44">
        <v>45969</v>
      </c>
      <c r="O737" s="39">
        <v>2</v>
      </c>
      <c r="P737" s="39">
        <v>2</v>
      </c>
      <c r="Q737" s="39">
        <v>2</v>
      </c>
      <c r="R737" s="39">
        <v>9</v>
      </c>
      <c r="S737" s="51" t="str">
        <f t="shared" si="58"/>
        <v>Promoter</v>
      </c>
    </row>
    <row r="738" ht="14.25" customHeight="1" spans="1:19">
      <c r="A738" s="43" t="s">
        <v>780</v>
      </c>
      <c r="B738" s="43" t="s">
        <v>11</v>
      </c>
      <c r="C738" s="43" t="s">
        <v>22</v>
      </c>
      <c r="D738" s="44">
        <v>45956</v>
      </c>
      <c r="E738" s="44">
        <v>45960</v>
      </c>
      <c r="F738" s="44">
        <v>45965</v>
      </c>
      <c r="G738" s="44">
        <v>45968</v>
      </c>
      <c r="H738" s="45" t="str">
        <f t="shared" si="59"/>
        <v>Delivered</v>
      </c>
      <c r="I738" s="48">
        <f t="shared" si="55"/>
        <v>4</v>
      </c>
      <c r="J738" s="48">
        <f t="shared" si="56"/>
        <v>5</v>
      </c>
      <c r="K738" s="48">
        <f t="shared" si="57"/>
        <v>3</v>
      </c>
      <c r="L738" s="39" t="s">
        <v>9</v>
      </c>
      <c r="N738" s="44">
        <v>45978</v>
      </c>
      <c r="O738" s="39">
        <v>4</v>
      </c>
      <c r="P738" s="39">
        <v>5</v>
      </c>
      <c r="Q738" s="39">
        <v>3</v>
      </c>
      <c r="R738" s="39">
        <v>0</v>
      </c>
      <c r="S738" s="51" t="str">
        <f t="shared" si="58"/>
        <v>Detractor</v>
      </c>
    </row>
    <row r="739" ht="14.25" customHeight="1" spans="1:19">
      <c r="A739" s="43" t="s">
        <v>781</v>
      </c>
      <c r="B739" s="43" t="s">
        <v>14</v>
      </c>
      <c r="C739" s="43" t="s">
        <v>20</v>
      </c>
      <c r="D739" s="44">
        <v>45934</v>
      </c>
      <c r="H739" s="45" t="str">
        <f t="shared" si="59"/>
        <v>Cancelled</v>
      </c>
      <c r="I739" s="48">
        <f t="shared" si="55"/>
        <v>0</v>
      </c>
      <c r="J739" s="48">
        <f t="shared" si="56"/>
        <v>0</v>
      </c>
      <c r="K739" s="48">
        <f t="shared" si="57"/>
        <v>0</v>
      </c>
      <c r="L739" s="39" t="s">
        <v>10</v>
      </c>
      <c r="M739" s="39" t="s">
        <v>44</v>
      </c>
      <c r="S739" s="51" t="str">
        <f t="shared" si="58"/>
        <v>Detractor</v>
      </c>
    </row>
    <row r="740" ht="14.25" customHeight="1" spans="1:19">
      <c r="A740" s="43" t="s">
        <v>782</v>
      </c>
      <c r="B740" s="43" t="s">
        <v>14</v>
      </c>
      <c r="C740" s="43" t="s">
        <v>21</v>
      </c>
      <c r="D740" s="44">
        <v>45945</v>
      </c>
      <c r="E740" s="44">
        <v>45946</v>
      </c>
      <c r="F740" s="44">
        <v>45950</v>
      </c>
      <c r="G740" s="44">
        <v>45956</v>
      </c>
      <c r="H740" s="45" t="str">
        <f t="shared" si="59"/>
        <v>Delivered</v>
      </c>
      <c r="I740" s="48">
        <f t="shared" si="55"/>
        <v>1</v>
      </c>
      <c r="J740" s="48">
        <f t="shared" si="56"/>
        <v>4</v>
      </c>
      <c r="K740" s="48">
        <f t="shared" si="57"/>
        <v>6</v>
      </c>
      <c r="L740" s="39" t="s">
        <v>9</v>
      </c>
      <c r="N740" s="44">
        <v>45967</v>
      </c>
      <c r="O740" s="39">
        <v>1</v>
      </c>
      <c r="P740" s="39">
        <v>4</v>
      </c>
      <c r="Q740" s="39">
        <v>6</v>
      </c>
      <c r="R740" s="39">
        <v>7</v>
      </c>
      <c r="S740" s="51" t="str">
        <f t="shared" si="58"/>
        <v>Passive</v>
      </c>
    </row>
    <row r="741" ht="14.25" customHeight="1" spans="1:19">
      <c r="A741" s="43" t="s">
        <v>783</v>
      </c>
      <c r="B741" s="43" t="s">
        <v>12</v>
      </c>
      <c r="C741" s="43" t="s">
        <v>21</v>
      </c>
      <c r="D741" s="44">
        <v>45961</v>
      </c>
      <c r="E741" s="44">
        <v>45964</v>
      </c>
      <c r="F741" s="44">
        <v>45965</v>
      </c>
      <c r="G741" s="44">
        <v>45970</v>
      </c>
      <c r="H741" s="45" t="str">
        <f t="shared" si="59"/>
        <v>Delivered</v>
      </c>
      <c r="I741" s="48">
        <f t="shared" si="55"/>
        <v>3</v>
      </c>
      <c r="J741" s="48">
        <f t="shared" si="56"/>
        <v>1</v>
      </c>
      <c r="K741" s="48">
        <f t="shared" si="57"/>
        <v>5</v>
      </c>
      <c r="L741" s="39" t="s">
        <v>9</v>
      </c>
      <c r="N741" s="44">
        <v>45997</v>
      </c>
      <c r="O741" s="39">
        <v>3</v>
      </c>
      <c r="P741" s="39">
        <v>1</v>
      </c>
      <c r="Q741" s="39">
        <v>5</v>
      </c>
      <c r="R741" s="39">
        <v>7</v>
      </c>
      <c r="S741" s="51" t="str">
        <f t="shared" si="58"/>
        <v>Passive</v>
      </c>
    </row>
    <row r="742" ht="14.25" customHeight="1" spans="1:19">
      <c r="A742" s="43" t="s">
        <v>784</v>
      </c>
      <c r="B742" s="43" t="s">
        <v>12</v>
      </c>
      <c r="C742" s="43" t="s">
        <v>22</v>
      </c>
      <c r="D742" s="44">
        <v>45933</v>
      </c>
      <c r="E742" s="44">
        <v>45938</v>
      </c>
      <c r="F742" s="44">
        <v>45943</v>
      </c>
      <c r="G742" s="44">
        <v>45950</v>
      </c>
      <c r="H742" s="45" t="str">
        <f t="shared" si="59"/>
        <v>Delivered</v>
      </c>
      <c r="I742" s="48">
        <f t="shared" si="55"/>
        <v>5</v>
      </c>
      <c r="J742" s="48">
        <f t="shared" si="56"/>
        <v>5</v>
      </c>
      <c r="K742" s="48">
        <f t="shared" si="57"/>
        <v>7</v>
      </c>
      <c r="L742" s="39" t="s">
        <v>9</v>
      </c>
      <c r="N742" s="44">
        <v>45966</v>
      </c>
      <c r="O742" s="39">
        <v>5</v>
      </c>
      <c r="P742" s="39">
        <v>5</v>
      </c>
      <c r="Q742" s="39">
        <v>7</v>
      </c>
      <c r="R742" s="39">
        <v>1</v>
      </c>
      <c r="S742" s="51" t="str">
        <f t="shared" si="58"/>
        <v>Detractor</v>
      </c>
    </row>
    <row r="743" ht="14.25" customHeight="1" spans="1:19">
      <c r="A743" s="43" t="s">
        <v>785</v>
      </c>
      <c r="B743" s="43" t="s">
        <v>13</v>
      </c>
      <c r="C743" s="43" t="s">
        <v>22</v>
      </c>
      <c r="D743" s="44">
        <v>45935</v>
      </c>
      <c r="E743" s="44">
        <v>45940</v>
      </c>
      <c r="F743" s="44">
        <v>45943</v>
      </c>
      <c r="G743" s="44">
        <v>45947</v>
      </c>
      <c r="H743" s="45" t="str">
        <f t="shared" si="59"/>
        <v>Delivered</v>
      </c>
      <c r="I743" s="48">
        <f t="shared" si="55"/>
        <v>5</v>
      </c>
      <c r="J743" s="48">
        <f t="shared" si="56"/>
        <v>3</v>
      </c>
      <c r="K743" s="48">
        <f t="shared" si="57"/>
        <v>4</v>
      </c>
      <c r="L743" s="39" t="s">
        <v>9</v>
      </c>
      <c r="N743" s="44">
        <v>45968</v>
      </c>
      <c r="O743" s="39">
        <v>5</v>
      </c>
      <c r="P743" s="39">
        <v>3</v>
      </c>
      <c r="Q743" s="39">
        <v>4</v>
      </c>
      <c r="R743" s="39">
        <v>2</v>
      </c>
      <c r="S743" s="51" t="str">
        <f t="shared" si="58"/>
        <v>Detractor</v>
      </c>
    </row>
    <row r="744" ht="14.25" customHeight="1" spans="1:19">
      <c r="A744" s="43" t="s">
        <v>786</v>
      </c>
      <c r="B744" s="43" t="s">
        <v>14</v>
      </c>
      <c r="C744" s="43" t="s">
        <v>22</v>
      </c>
      <c r="D744" s="44">
        <v>45955</v>
      </c>
      <c r="E744" s="44">
        <v>45958</v>
      </c>
      <c r="F744" s="44">
        <v>45960</v>
      </c>
      <c r="G744" s="44">
        <v>45965</v>
      </c>
      <c r="H744" s="45" t="str">
        <f t="shared" si="59"/>
        <v>Delivered</v>
      </c>
      <c r="I744" s="48">
        <f t="shared" si="55"/>
        <v>3</v>
      </c>
      <c r="J744" s="48">
        <f t="shared" si="56"/>
        <v>2</v>
      </c>
      <c r="K744" s="48">
        <f t="shared" si="57"/>
        <v>5</v>
      </c>
      <c r="L744" s="39" t="s">
        <v>9</v>
      </c>
      <c r="N744" s="44">
        <v>45975</v>
      </c>
      <c r="O744" s="39">
        <v>3</v>
      </c>
      <c r="P744" s="39">
        <v>2</v>
      </c>
      <c r="Q744" s="39">
        <v>5</v>
      </c>
      <c r="R744" s="39">
        <v>2</v>
      </c>
      <c r="S744" s="51" t="str">
        <f t="shared" si="58"/>
        <v>Detractor</v>
      </c>
    </row>
    <row r="745" ht="14.25" customHeight="1" spans="1:19">
      <c r="A745" s="43" t="s">
        <v>787</v>
      </c>
      <c r="B745" s="43" t="s">
        <v>11</v>
      </c>
      <c r="C745" s="43" t="s">
        <v>22</v>
      </c>
      <c r="D745" s="44">
        <v>45961</v>
      </c>
      <c r="E745" s="44">
        <v>45965</v>
      </c>
      <c r="F745" s="44">
        <v>45966</v>
      </c>
      <c r="G745" s="44">
        <v>45973</v>
      </c>
      <c r="H745" s="45" t="str">
        <f t="shared" si="59"/>
        <v>Delivered</v>
      </c>
      <c r="I745" s="48">
        <f t="shared" si="55"/>
        <v>4</v>
      </c>
      <c r="J745" s="48">
        <f t="shared" si="56"/>
        <v>1</v>
      </c>
      <c r="K745" s="48">
        <f t="shared" si="57"/>
        <v>7</v>
      </c>
      <c r="L745" s="39" t="s">
        <v>9</v>
      </c>
      <c r="N745" s="44">
        <v>45993</v>
      </c>
      <c r="O745" s="39">
        <v>4</v>
      </c>
      <c r="P745" s="39">
        <v>1</v>
      </c>
      <c r="Q745" s="39">
        <v>7</v>
      </c>
      <c r="R745" s="39">
        <v>1</v>
      </c>
      <c r="S745" s="51" t="str">
        <f t="shared" si="58"/>
        <v>Detractor</v>
      </c>
    </row>
    <row r="746" ht="14.25" customHeight="1" spans="1:19">
      <c r="A746" s="43" t="s">
        <v>788</v>
      </c>
      <c r="B746" s="43" t="s">
        <v>12</v>
      </c>
      <c r="C746" s="43" t="s">
        <v>21</v>
      </c>
      <c r="D746" s="44">
        <v>45938</v>
      </c>
      <c r="E746" s="44">
        <v>45943</v>
      </c>
      <c r="F746" s="44">
        <v>45944</v>
      </c>
      <c r="G746" s="44">
        <v>45946</v>
      </c>
      <c r="H746" s="45" t="str">
        <f t="shared" si="59"/>
        <v>Delivered</v>
      </c>
      <c r="I746" s="48">
        <f t="shared" si="55"/>
        <v>5</v>
      </c>
      <c r="J746" s="48">
        <f t="shared" si="56"/>
        <v>1</v>
      </c>
      <c r="K746" s="48">
        <f t="shared" si="57"/>
        <v>2</v>
      </c>
      <c r="L746" s="39" t="s">
        <v>9</v>
      </c>
      <c r="N746" s="44">
        <v>45972</v>
      </c>
      <c r="O746" s="39">
        <v>5</v>
      </c>
      <c r="P746" s="39">
        <v>1</v>
      </c>
      <c r="Q746" s="39">
        <v>2</v>
      </c>
      <c r="R746" s="39">
        <v>5</v>
      </c>
      <c r="S746" s="51" t="str">
        <f t="shared" si="58"/>
        <v>Detractor</v>
      </c>
    </row>
    <row r="747" ht="14.25" customHeight="1" spans="1:19">
      <c r="A747" s="43" t="s">
        <v>789</v>
      </c>
      <c r="B747" s="43" t="s">
        <v>11</v>
      </c>
      <c r="C747" s="43" t="s">
        <v>22</v>
      </c>
      <c r="D747" s="44">
        <v>45958</v>
      </c>
      <c r="E747" s="44">
        <v>45960</v>
      </c>
      <c r="F747" s="44">
        <v>45963</v>
      </c>
      <c r="G747" s="44">
        <v>45969</v>
      </c>
      <c r="H747" s="45" t="str">
        <f t="shared" si="59"/>
        <v>Delivered</v>
      </c>
      <c r="I747" s="48">
        <f t="shared" si="55"/>
        <v>2</v>
      </c>
      <c r="J747" s="48">
        <f t="shared" si="56"/>
        <v>3</v>
      </c>
      <c r="K747" s="48">
        <f t="shared" si="57"/>
        <v>6</v>
      </c>
      <c r="L747" s="39" t="s">
        <v>9</v>
      </c>
      <c r="N747" s="44">
        <v>45985</v>
      </c>
      <c r="O747" s="39">
        <v>2</v>
      </c>
      <c r="P747" s="39">
        <v>3</v>
      </c>
      <c r="Q747" s="39">
        <v>6</v>
      </c>
      <c r="R747" s="39">
        <v>9</v>
      </c>
      <c r="S747" s="51" t="str">
        <f t="shared" si="58"/>
        <v>Promoter</v>
      </c>
    </row>
    <row r="748" ht="14.25" customHeight="1" spans="1:19">
      <c r="A748" s="43" t="s">
        <v>790</v>
      </c>
      <c r="B748" s="43" t="s">
        <v>11</v>
      </c>
      <c r="C748" s="43" t="s">
        <v>22</v>
      </c>
      <c r="D748" s="44">
        <v>45952</v>
      </c>
      <c r="E748" s="44">
        <v>45957</v>
      </c>
      <c r="F748" s="44">
        <v>45959</v>
      </c>
      <c r="G748" s="44">
        <v>45961</v>
      </c>
      <c r="H748" s="45" t="str">
        <f t="shared" si="59"/>
        <v>Delivered</v>
      </c>
      <c r="I748" s="48">
        <f t="shared" si="55"/>
        <v>5</v>
      </c>
      <c r="J748" s="48">
        <f t="shared" si="56"/>
        <v>2</v>
      </c>
      <c r="K748" s="48">
        <f t="shared" si="57"/>
        <v>2</v>
      </c>
      <c r="L748" s="39" t="s">
        <v>10</v>
      </c>
      <c r="M748" s="39" t="s">
        <v>117</v>
      </c>
      <c r="O748" s="39">
        <v>5</v>
      </c>
      <c r="P748" s="39">
        <v>2</v>
      </c>
      <c r="Q748" s="39">
        <v>2</v>
      </c>
      <c r="S748" s="51" t="str">
        <f t="shared" si="58"/>
        <v>Detractor</v>
      </c>
    </row>
    <row r="749" ht="14.25" customHeight="1" spans="1:19">
      <c r="A749" s="43" t="s">
        <v>791</v>
      </c>
      <c r="B749" s="43" t="s">
        <v>14</v>
      </c>
      <c r="C749" s="43" t="s">
        <v>20</v>
      </c>
      <c r="D749" s="44">
        <v>45954</v>
      </c>
      <c r="H749" s="45" t="str">
        <f t="shared" si="59"/>
        <v>Cancelled</v>
      </c>
      <c r="I749" s="48">
        <f t="shared" si="55"/>
        <v>0</v>
      </c>
      <c r="J749" s="48">
        <f t="shared" si="56"/>
        <v>0</v>
      </c>
      <c r="K749" s="48">
        <f t="shared" si="57"/>
        <v>0</v>
      </c>
      <c r="L749" s="39" t="s">
        <v>10</v>
      </c>
      <c r="M749" s="39" t="s">
        <v>79</v>
      </c>
      <c r="S749" s="51" t="str">
        <f t="shared" si="58"/>
        <v>Detractor</v>
      </c>
    </row>
    <row r="750" ht="14.25" customHeight="1" spans="1:19">
      <c r="A750" s="43" t="s">
        <v>792</v>
      </c>
      <c r="B750" s="43" t="s">
        <v>14</v>
      </c>
      <c r="C750" s="43" t="s">
        <v>22</v>
      </c>
      <c r="D750" s="44">
        <v>45952</v>
      </c>
      <c r="E750" s="44">
        <v>45953</v>
      </c>
      <c r="F750" s="44">
        <v>45957</v>
      </c>
      <c r="G750" s="44">
        <v>45963</v>
      </c>
      <c r="H750" s="45" t="str">
        <f t="shared" si="59"/>
        <v>Delivered</v>
      </c>
      <c r="I750" s="48">
        <f t="shared" si="55"/>
        <v>1</v>
      </c>
      <c r="J750" s="48">
        <f t="shared" si="56"/>
        <v>4</v>
      </c>
      <c r="K750" s="48">
        <f t="shared" si="57"/>
        <v>6</v>
      </c>
      <c r="L750" s="39" t="s">
        <v>9</v>
      </c>
      <c r="N750" s="44">
        <v>45973</v>
      </c>
      <c r="O750" s="39">
        <v>1</v>
      </c>
      <c r="P750" s="39">
        <v>4</v>
      </c>
      <c r="Q750" s="39">
        <v>6</v>
      </c>
      <c r="R750" s="39">
        <v>7</v>
      </c>
      <c r="S750" s="51" t="str">
        <f t="shared" si="58"/>
        <v>Passive</v>
      </c>
    </row>
    <row r="751" ht="14.25" customHeight="1" spans="1:19">
      <c r="A751" s="43" t="s">
        <v>793</v>
      </c>
      <c r="B751" s="43" t="s">
        <v>12</v>
      </c>
      <c r="C751" s="43" t="s">
        <v>21</v>
      </c>
      <c r="D751" s="44">
        <v>45943</v>
      </c>
      <c r="E751" s="44">
        <v>45944</v>
      </c>
      <c r="F751" s="44">
        <v>45946</v>
      </c>
      <c r="G751" s="44">
        <v>45949</v>
      </c>
      <c r="H751" s="45" t="str">
        <f t="shared" si="59"/>
        <v>Delivered</v>
      </c>
      <c r="I751" s="48">
        <f t="shared" si="55"/>
        <v>1</v>
      </c>
      <c r="J751" s="48">
        <f t="shared" si="56"/>
        <v>2</v>
      </c>
      <c r="K751" s="48">
        <f t="shared" si="57"/>
        <v>3</v>
      </c>
      <c r="L751" s="39" t="s">
        <v>9</v>
      </c>
      <c r="N751" s="44">
        <v>45959</v>
      </c>
      <c r="O751" s="39">
        <v>1</v>
      </c>
      <c r="P751" s="39">
        <v>2</v>
      </c>
      <c r="Q751" s="39">
        <v>3</v>
      </c>
      <c r="R751" s="39">
        <v>0</v>
      </c>
      <c r="S751" s="51" t="str">
        <f t="shared" si="58"/>
        <v>Detractor</v>
      </c>
    </row>
    <row r="752" ht="14.25" customHeight="1" spans="1:19">
      <c r="A752" s="43" t="s">
        <v>794</v>
      </c>
      <c r="B752" s="43" t="s">
        <v>14</v>
      </c>
      <c r="C752" s="43" t="s">
        <v>21</v>
      </c>
      <c r="D752" s="44">
        <v>45961</v>
      </c>
      <c r="E752" s="44">
        <v>45964</v>
      </c>
      <c r="F752" s="44">
        <v>45968</v>
      </c>
      <c r="G752" s="44">
        <v>45975</v>
      </c>
      <c r="H752" s="45" t="str">
        <f t="shared" si="59"/>
        <v>Delivered</v>
      </c>
      <c r="I752" s="48">
        <f t="shared" si="55"/>
        <v>3</v>
      </c>
      <c r="J752" s="48">
        <f t="shared" si="56"/>
        <v>4</v>
      </c>
      <c r="K752" s="48">
        <f t="shared" si="57"/>
        <v>7</v>
      </c>
      <c r="L752" s="39" t="s">
        <v>9</v>
      </c>
      <c r="N752" s="44">
        <v>46005</v>
      </c>
      <c r="O752" s="39">
        <v>3</v>
      </c>
      <c r="P752" s="39">
        <v>4</v>
      </c>
      <c r="Q752" s="39">
        <v>7</v>
      </c>
      <c r="R752" s="39">
        <v>7</v>
      </c>
      <c r="S752" s="51" t="str">
        <f t="shared" si="58"/>
        <v>Passive</v>
      </c>
    </row>
    <row r="753" ht="14.25" customHeight="1" spans="1:19">
      <c r="A753" s="43" t="s">
        <v>795</v>
      </c>
      <c r="B753" s="43" t="s">
        <v>14</v>
      </c>
      <c r="C753" s="43" t="s">
        <v>21</v>
      </c>
      <c r="D753" s="44">
        <v>45958</v>
      </c>
      <c r="E753" s="44">
        <v>45962</v>
      </c>
      <c r="F753" s="44">
        <v>45965</v>
      </c>
      <c r="G753" s="44">
        <v>45970</v>
      </c>
      <c r="H753" s="45" t="str">
        <f t="shared" si="59"/>
        <v>Delivered</v>
      </c>
      <c r="I753" s="48">
        <f t="shared" si="55"/>
        <v>4</v>
      </c>
      <c r="J753" s="48">
        <f t="shared" si="56"/>
        <v>3</v>
      </c>
      <c r="K753" s="48">
        <f t="shared" si="57"/>
        <v>5</v>
      </c>
      <c r="L753" s="39" t="s">
        <v>9</v>
      </c>
      <c r="N753" s="44">
        <v>45987</v>
      </c>
      <c r="O753" s="39">
        <v>4</v>
      </c>
      <c r="P753" s="39">
        <v>3</v>
      </c>
      <c r="Q753" s="39">
        <v>5</v>
      </c>
      <c r="R753" s="39">
        <v>4</v>
      </c>
      <c r="S753" s="51" t="str">
        <f t="shared" si="58"/>
        <v>Detractor</v>
      </c>
    </row>
    <row r="754" ht="14.25" customHeight="1" spans="1:19">
      <c r="A754" s="43" t="s">
        <v>796</v>
      </c>
      <c r="B754" s="43" t="s">
        <v>14</v>
      </c>
      <c r="C754" s="43" t="s">
        <v>22</v>
      </c>
      <c r="D754" s="44">
        <v>45956</v>
      </c>
      <c r="E754" s="44">
        <v>45960</v>
      </c>
      <c r="F754" s="44">
        <v>45963</v>
      </c>
      <c r="G754" s="44">
        <v>45965</v>
      </c>
      <c r="H754" s="45" t="str">
        <f t="shared" si="59"/>
        <v>Delivered</v>
      </c>
      <c r="I754" s="48">
        <f t="shared" si="55"/>
        <v>4</v>
      </c>
      <c r="J754" s="48">
        <f t="shared" si="56"/>
        <v>3</v>
      </c>
      <c r="K754" s="48">
        <f t="shared" si="57"/>
        <v>2</v>
      </c>
      <c r="L754" s="39" t="s">
        <v>9</v>
      </c>
      <c r="N754" s="44">
        <v>45982</v>
      </c>
      <c r="O754" s="39">
        <v>4</v>
      </c>
      <c r="P754" s="39">
        <v>3</v>
      </c>
      <c r="Q754" s="39">
        <v>2</v>
      </c>
      <c r="R754" s="39">
        <v>4</v>
      </c>
      <c r="S754" s="51" t="str">
        <f t="shared" si="58"/>
        <v>Detractor</v>
      </c>
    </row>
    <row r="755" ht="14.25" customHeight="1" spans="1:19">
      <c r="A755" s="43" t="s">
        <v>797</v>
      </c>
      <c r="B755" s="43" t="s">
        <v>11</v>
      </c>
      <c r="C755" s="43" t="s">
        <v>21</v>
      </c>
      <c r="D755" s="44">
        <v>45948</v>
      </c>
      <c r="E755" s="44">
        <v>45953</v>
      </c>
      <c r="F755" s="44">
        <v>45954</v>
      </c>
      <c r="G755" s="44">
        <v>45960</v>
      </c>
      <c r="H755" s="45" t="str">
        <f t="shared" si="59"/>
        <v>Delivered</v>
      </c>
      <c r="I755" s="48">
        <f t="shared" si="55"/>
        <v>5</v>
      </c>
      <c r="J755" s="48">
        <f t="shared" si="56"/>
        <v>1</v>
      </c>
      <c r="K755" s="48">
        <f t="shared" si="57"/>
        <v>6</v>
      </c>
      <c r="L755" s="39" t="s">
        <v>9</v>
      </c>
      <c r="N755" s="44">
        <v>45981</v>
      </c>
      <c r="O755" s="39">
        <v>5</v>
      </c>
      <c r="P755" s="39">
        <v>1</v>
      </c>
      <c r="Q755" s="39">
        <v>6</v>
      </c>
      <c r="R755" s="39">
        <v>9</v>
      </c>
      <c r="S755" s="51" t="str">
        <f t="shared" si="58"/>
        <v>Promoter</v>
      </c>
    </row>
    <row r="756" ht="14.25" customHeight="1" spans="1:19">
      <c r="A756" s="43" t="s">
        <v>798</v>
      </c>
      <c r="B756" s="43" t="s">
        <v>12</v>
      </c>
      <c r="C756" s="43" t="s">
        <v>22</v>
      </c>
      <c r="D756" s="44">
        <v>45942</v>
      </c>
      <c r="E756" s="44">
        <v>45946</v>
      </c>
      <c r="F756" s="44">
        <v>45947</v>
      </c>
      <c r="G756" s="44">
        <v>45953</v>
      </c>
      <c r="H756" s="45" t="str">
        <f t="shared" si="59"/>
        <v>Delivered</v>
      </c>
      <c r="I756" s="48">
        <f t="shared" si="55"/>
        <v>4</v>
      </c>
      <c r="J756" s="48">
        <f t="shared" si="56"/>
        <v>1</v>
      </c>
      <c r="K756" s="48">
        <f t="shared" si="57"/>
        <v>6</v>
      </c>
      <c r="L756" s="39" t="s">
        <v>9</v>
      </c>
      <c r="N756" s="44">
        <v>45972</v>
      </c>
      <c r="O756" s="39">
        <v>4</v>
      </c>
      <c r="P756" s="39">
        <v>1</v>
      </c>
      <c r="Q756" s="39">
        <v>6</v>
      </c>
      <c r="R756" s="39">
        <v>6</v>
      </c>
      <c r="S756" s="51" t="str">
        <f t="shared" si="58"/>
        <v>Detractor</v>
      </c>
    </row>
    <row r="757" ht="14.25" customHeight="1" spans="1:19">
      <c r="A757" s="43" t="s">
        <v>799</v>
      </c>
      <c r="B757" s="43" t="s">
        <v>13</v>
      </c>
      <c r="C757" s="43" t="s">
        <v>22</v>
      </c>
      <c r="D757" s="44">
        <v>45933</v>
      </c>
      <c r="E757" s="44">
        <v>45937</v>
      </c>
      <c r="F757" s="44">
        <v>45938</v>
      </c>
      <c r="G757" s="44">
        <v>45940</v>
      </c>
      <c r="H757" s="45" t="str">
        <f t="shared" si="59"/>
        <v>Delivered</v>
      </c>
      <c r="I757" s="48">
        <f t="shared" si="55"/>
        <v>4</v>
      </c>
      <c r="J757" s="48">
        <f t="shared" si="56"/>
        <v>1</v>
      </c>
      <c r="K757" s="48">
        <f t="shared" si="57"/>
        <v>2</v>
      </c>
      <c r="L757" s="39" t="s">
        <v>9</v>
      </c>
      <c r="N757" s="44">
        <v>45954</v>
      </c>
      <c r="O757" s="39">
        <v>4</v>
      </c>
      <c r="P757" s="39">
        <v>1</v>
      </c>
      <c r="Q757" s="39">
        <v>2</v>
      </c>
      <c r="R757" s="39">
        <v>5</v>
      </c>
      <c r="S757" s="51" t="str">
        <f t="shared" si="58"/>
        <v>Detractor</v>
      </c>
    </row>
    <row r="758" ht="14.25" customHeight="1" spans="1:19">
      <c r="A758" s="43" t="s">
        <v>800</v>
      </c>
      <c r="B758" s="43" t="s">
        <v>11</v>
      </c>
      <c r="C758" s="43" t="s">
        <v>21</v>
      </c>
      <c r="D758" s="44">
        <v>45956</v>
      </c>
      <c r="E758" s="44">
        <v>45961</v>
      </c>
      <c r="F758" s="44">
        <v>45964</v>
      </c>
      <c r="G758" s="44">
        <v>45969</v>
      </c>
      <c r="H758" s="45" t="str">
        <f t="shared" si="59"/>
        <v>Delivered</v>
      </c>
      <c r="I758" s="48">
        <f t="shared" si="55"/>
        <v>5</v>
      </c>
      <c r="J758" s="48">
        <f t="shared" si="56"/>
        <v>3</v>
      </c>
      <c r="K758" s="48">
        <f t="shared" si="57"/>
        <v>5</v>
      </c>
      <c r="L758" s="39" t="s">
        <v>9</v>
      </c>
      <c r="N758" s="44">
        <v>45982</v>
      </c>
      <c r="O758" s="39">
        <v>5</v>
      </c>
      <c r="P758" s="39">
        <v>3</v>
      </c>
      <c r="Q758" s="39">
        <v>5</v>
      </c>
      <c r="R758" s="39">
        <v>7</v>
      </c>
      <c r="S758" s="51" t="str">
        <f t="shared" si="58"/>
        <v>Passive</v>
      </c>
    </row>
    <row r="759" ht="14.25" customHeight="1" spans="1:19">
      <c r="A759" s="43" t="s">
        <v>801</v>
      </c>
      <c r="B759" s="43" t="s">
        <v>14</v>
      </c>
      <c r="C759" s="43" t="s">
        <v>21</v>
      </c>
      <c r="D759" s="44">
        <v>45943</v>
      </c>
      <c r="E759" s="44">
        <v>45944</v>
      </c>
      <c r="F759" s="44">
        <v>45948</v>
      </c>
      <c r="G759" s="44">
        <v>45955</v>
      </c>
      <c r="H759" s="45" t="str">
        <f t="shared" si="59"/>
        <v>Delivered</v>
      </c>
      <c r="I759" s="48">
        <f t="shared" si="55"/>
        <v>1</v>
      </c>
      <c r="J759" s="48">
        <f t="shared" si="56"/>
        <v>4</v>
      </c>
      <c r="K759" s="48">
        <f t="shared" si="57"/>
        <v>7</v>
      </c>
      <c r="L759" s="39" t="s">
        <v>9</v>
      </c>
      <c r="N759" s="44">
        <v>45977</v>
      </c>
      <c r="O759" s="39">
        <v>1</v>
      </c>
      <c r="P759" s="39">
        <v>4</v>
      </c>
      <c r="Q759" s="39">
        <v>7</v>
      </c>
      <c r="R759" s="39">
        <v>6</v>
      </c>
      <c r="S759" s="51" t="str">
        <f t="shared" si="58"/>
        <v>Detractor</v>
      </c>
    </row>
    <row r="760" ht="14.25" customHeight="1" spans="1:19">
      <c r="A760" s="43" t="s">
        <v>802</v>
      </c>
      <c r="B760" s="43" t="s">
        <v>11</v>
      </c>
      <c r="C760" s="43" t="s">
        <v>21</v>
      </c>
      <c r="D760" s="44">
        <v>45931</v>
      </c>
      <c r="E760" s="44">
        <v>45933</v>
      </c>
      <c r="F760" s="44">
        <v>45936</v>
      </c>
      <c r="G760" s="44">
        <v>45939</v>
      </c>
      <c r="H760" s="45" t="str">
        <f t="shared" si="59"/>
        <v>Delivered</v>
      </c>
      <c r="I760" s="48">
        <f t="shared" si="55"/>
        <v>2</v>
      </c>
      <c r="J760" s="48">
        <f t="shared" si="56"/>
        <v>3</v>
      </c>
      <c r="K760" s="48">
        <f t="shared" si="57"/>
        <v>3</v>
      </c>
      <c r="L760" s="39" t="s">
        <v>9</v>
      </c>
      <c r="N760" s="44">
        <v>45965</v>
      </c>
      <c r="O760" s="39">
        <v>2</v>
      </c>
      <c r="P760" s="39">
        <v>3</v>
      </c>
      <c r="Q760" s="39">
        <v>3</v>
      </c>
      <c r="R760" s="39">
        <v>6</v>
      </c>
      <c r="S760" s="51" t="str">
        <f t="shared" si="58"/>
        <v>Detractor</v>
      </c>
    </row>
    <row r="761" ht="14.25" customHeight="1" spans="1:19">
      <c r="A761" s="43" t="s">
        <v>803</v>
      </c>
      <c r="B761" s="43" t="s">
        <v>14</v>
      </c>
      <c r="C761" s="43" t="s">
        <v>20</v>
      </c>
      <c r="D761" s="44">
        <v>45939</v>
      </c>
      <c r="H761" s="45" t="str">
        <f t="shared" si="59"/>
        <v>Cancelled</v>
      </c>
      <c r="I761" s="48">
        <f t="shared" si="55"/>
        <v>0</v>
      </c>
      <c r="J761" s="48">
        <f t="shared" si="56"/>
        <v>0</v>
      </c>
      <c r="K761" s="48">
        <f t="shared" si="57"/>
        <v>0</v>
      </c>
      <c r="L761" s="39" t="s">
        <v>10</v>
      </c>
      <c r="M761" s="39" t="s">
        <v>79</v>
      </c>
      <c r="S761" s="51" t="str">
        <f t="shared" si="58"/>
        <v>Detractor</v>
      </c>
    </row>
    <row r="762" ht="14.25" customHeight="1" spans="1:19">
      <c r="A762" s="43" t="s">
        <v>804</v>
      </c>
      <c r="B762" s="43" t="s">
        <v>14</v>
      </c>
      <c r="C762" s="43" t="s">
        <v>21</v>
      </c>
      <c r="D762" s="44">
        <v>45948</v>
      </c>
      <c r="E762" s="44">
        <v>45951</v>
      </c>
      <c r="F762" s="44">
        <v>45954</v>
      </c>
      <c r="G762" s="44">
        <v>45957</v>
      </c>
      <c r="H762" s="45" t="str">
        <f t="shared" si="59"/>
        <v>Delivered</v>
      </c>
      <c r="I762" s="48">
        <f t="shared" si="55"/>
        <v>3</v>
      </c>
      <c r="J762" s="48">
        <f t="shared" si="56"/>
        <v>3</v>
      </c>
      <c r="K762" s="48">
        <f t="shared" si="57"/>
        <v>3</v>
      </c>
      <c r="L762" s="39" t="s">
        <v>9</v>
      </c>
      <c r="N762" s="44">
        <v>45985</v>
      </c>
      <c r="O762" s="39">
        <v>3</v>
      </c>
      <c r="P762" s="39">
        <v>3</v>
      </c>
      <c r="Q762" s="39">
        <v>3</v>
      </c>
      <c r="R762" s="39">
        <v>2</v>
      </c>
      <c r="S762" s="51" t="str">
        <f t="shared" si="58"/>
        <v>Detractor</v>
      </c>
    </row>
    <row r="763" ht="14.25" customHeight="1" spans="1:19">
      <c r="A763" s="43" t="s">
        <v>805</v>
      </c>
      <c r="B763" s="43" t="s">
        <v>11</v>
      </c>
      <c r="C763" s="43" t="s">
        <v>22</v>
      </c>
      <c r="D763" s="44">
        <v>45934</v>
      </c>
      <c r="E763" s="44">
        <v>45935</v>
      </c>
      <c r="F763" s="44">
        <v>45936</v>
      </c>
      <c r="G763" s="44">
        <v>45940</v>
      </c>
      <c r="H763" s="45" t="str">
        <f t="shared" si="59"/>
        <v>Delivered</v>
      </c>
      <c r="I763" s="48">
        <f t="shared" si="55"/>
        <v>1</v>
      </c>
      <c r="J763" s="48">
        <f t="shared" si="56"/>
        <v>1</v>
      </c>
      <c r="K763" s="48">
        <f t="shared" si="57"/>
        <v>4</v>
      </c>
      <c r="L763" s="39" t="s">
        <v>9</v>
      </c>
      <c r="N763" s="44">
        <v>45959</v>
      </c>
      <c r="O763" s="39">
        <v>1</v>
      </c>
      <c r="P763" s="39">
        <v>1</v>
      </c>
      <c r="Q763" s="39">
        <v>4</v>
      </c>
      <c r="R763" s="39">
        <v>8</v>
      </c>
      <c r="S763" s="51" t="str">
        <f t="shared" si="58"/>
        <v>Passive</v>
      </c>
    </row>
    <row r="764" ht="14.25" customHeight="1" spans="1:19">
      <c r="A764" s="43" t="s">
        <v>806</v>
      </c>
      <c r="B764" s="43" t="s">
        <v>12</v>
      </c>
      <c r="C764" s="43" t="s">
        <v>20</v>
      </c>
      <c r="D764" s="44">
        <v>45945</v>
      </c>
      <c r="H764" s="45" t="str">
        <f t="shared" si="59"/>
        <v>Cancelled</v>
      </c>
      <c r="I764" s="48">
        <f t="shared" si="55"/>
        <v>0</v>
      </c>
      <c r="J764" s="48">
        <f t="shared" si="56"/>
        <v>0</v>
      </c>
      <c r="K764" s="48">
        <f t="shared" si="57"/>
        <v>0</v>
      </c>
      <c r="L764" s="39" t="s">
        <v>10</v>
      </c>
      <c r="M764" s="39" t="s">
        <v>49</v>
      </c>
      <c r="S764" s="51" t="str">
        <f t="shared" si="58"/>
        <v>Detractor</v>
      </c>
    </row>
    <row r="765" ht="14.25" customHeight="1" spans="1:19">
      <c r="A765" s="43" t="s">
        <v>807</v>
      </c>
      <c r="B765" s="43" t="s">
        <v>14</v>
      </c>
      <c r="C765" s="43" t="s">
        <v>22</v>
      </c>
      <c r="D765" s="44">
        <v>45942</v>
      </c>
      <c r="E765" s="44">
        <v>45946</v>
      </c>
      <c r="F765" s="44">
        <v>45948</v>
      </c>
      <c r="G765" s="44">
        <v>45952</v>
      </c>
      <c r="H765" s="45" t="str">
        <f t="shared" si="59"/>
        <v>Delivered</v>
      </c>
      <c r="I765" s="48">
        <f t="shared" si="55"/>
        <v>4</v>
      </c>
      <c r="J765" s="48">
        <f t="shared" si="56"/>
        <v>2</v>
      </c>
      <c r="K765" s="48">
        <f t="shared" si="57"/>
        <v>4</v>
      </c>
      <c r="L765" s="39" t="s">
        <v>10</v>
      </c>
      <c r="M765" s="39" t="s">
        <v>79</v>
      </c>
      <c r="O765" s="39">
        <v>4</v>
      </c>
      <c r="P765" s="39">
        <v>2</v>
      </c>
      <c r="Q765" s="39">
        <v>4</v>
      </c>
      <c r="S765" s="51" t="str">
        <f t="shared" si="58"/>
        <v>Detractor</v>
      </c>
    </row>
    <row r="766" ht="14.25" customHeight="1" spans="1:19">
      <c r="A766" s="43" t="s">
        <v>808</v>
      </c>
      <c r="B766" s="43" t="s">
        <v>12</v>
      </c>
      <c r="C766" s="43" t="s">
        <v>20</v>
      </c>
      <c r="D766" s="44">
        <v>45952</v>
      </c>
      <c r="H766" s="45" t="str">
        <f t="shared" si="59"/>
        <v>Cancelled</v>
      </c>
      <c r="I766" s="48">
        <f t="shared" si="55"/>
        <v>0</v>
      </c>
      <c r="J766" s="48">
        <f t="shared" si="56"/>
        <v>0</v>
      </c>
      <c r="K766" s="48">
        <f t="shared" si="57"/>
        <v>0</v>
      </c>
      <c r="L766" s="39" t="s">
        <v>10</v>
      </c>
      <c r="M766" s="39" t="s">
        <v>44</v>
      </c>
      <c r="S766" s="51" t="str">
        <f t="shared" si="58"/>
        <v>Detractor</v>
      </c>
    </row>
    <row r="767" ht="14.25" customHeight="1" spans="1:19">
      <c r="A767" s="43" t="s">
        <v>809</v>
      </c>
      <c r="B767" s="43" t="s">
        <v>13</v>
      </c>
      <c r="C767" s="43" t="s">
        <v>22</v>
      </c>
      <c r="D767" s="44">
        <v>45954</v>
      </c>
      <c r="E767" s="44">
        <v>45958</v>
      </c>
      <c r="F767" s="44">
        <v>45959</v>
      </c>
      <c r="G767" s="44">
        <v>45963</v>
      </c>
      <c r="H767" s="45" t="str">
        <f t="shared" si="59"/>
        <v>Delivered</v>
      </c>
      <c r="I767" s="48">
        <f t="shared" si="55"/>
        <v>4</v>
      </c>
      <c r="J767" s="48">
        <f t="shared" si="56"/>
        <v>1</v>
      </c>
      <c r="K767" s="48">
        <f t="shared" si="57"/>
        <v>4</v>
      </c>
      <c r="L767" s="39" t="s">
        <v>9</v>
      </c>
      <c r="N767" s="44">
        <v>45978</v>
      </c>
      <c r="O767" s="39">
        <v>4</v>
      </c>
      <c r="P767" s="39">
        <v>1</v>
      </c>
      <c r="Q767" s="39">
        <v>4</v>
      </c>
      <c r="R767" s="39">
        <v>1</v>
      </c>
      <c r="S767" s="51" t="str">
        <f t="shared" si="58"/>
        <v>Detractor</v>
      </c>
    </row>
    <row r="768" ht="14.25" customHeight="1" spans="1:19">
      <c r="A768" s="43" t="s">
        <v>810</v>
      </c>
      <c r="B768" s="43" t="s">
        <v>14</v>
      </c>
      <c r="C768" s="43" t="s">
        <v>20</v>
      </c>
      <c r="D768" s="44">
        <v>45952</v>
      </c>
      <c r="H768" s="45" t="str">
        <f t="shared" si="59"/>
        <v>Cancelled</v>
      </c>
      <c r="I768" s="48">
        <f t="shared" si="55"/>
        <v>0</v>
      </c>
      <c r="J768" s="48">
        <f t="shared" si="56"/>
        <v>0</v>
      </c>
      <c r="K768" s="48">
        <f t="shared" si="57"/>
        <v>0</v>
      </c>
      <c r="L768" s="39" t="s">
        <v>10</v>
      </c>
      <c r="M768" s="39" t="s">
        <v>117</v>
      </c>
      <c r="S768" s="51" t="str">
        <f t="shared" si="58"/>
        <v>Detractor</v>
      </c>
    </row>
    <row r="769" ht="14.25" customHeight="1" spans="1:19">
      <c r="A769" s="43" t="s">
        <v>811</v>
      </c>
      <c r="B769" s="43" t="s">
        <v>12</v>
      </c>
      <c r="C769" s="43" t="s">
        <v>21</v>
      </c>
      <c r="D769" s="44">
        <v>45939</v>
      </c>
      <c r="E769" s="44">
        <v>45944</v>
      </c>
      <c r="F769" s="44">
        <v>45946</v>
      </c>
      <c r="G769" s="44">
        <v>45951</v>
      </c>
      <c r="H769" s="45" t="str">
        <f t="shared" si="59"/>
        <v>Delivered</v>
      </c>
      <c r="I769" s="48">
        <f t="shared" si="55"/>
        <v>5</v>
      </c>
      <c r="J769" s="48">
        <f t="shared" si="56"/>
        <v>2</v>
      </c>
      <c r="K769" s="48">
        <f t="shared" si="57"/>
        <v>5</v>
      </c>
      <c r="L769" s="39" t="s">
        <v>9</v>
      </c>
      <c r="N769" s="44">
        <v>45963</v>
      </c>
      <c r="O769" s="39">
        <v>5</v>
      </c>
      <c r="P769" s="39">
        <v>2</v>
      </c>
      <c r="Q769" s="39">
        <v>5</v>
      </c>
      <c r="R769" s="39">
        <v>0</v>
      </c>
      <c r="S769" s="51" t="str">
        <f t="shared" si="58"/>
        <v>Detractor</v>
      </c>
    </row>
    <row r="770" ht="14.25" customHeight="1" spans="1:19">
      <c r="A770" s="43" t="s">
        <v>812</v>
      </c>
      <c r="B770" s="43" t="s">
        <v>12</v>
      </c>
      <c r="C770" s="43" t="s">
        <v>21</v>
      </c>
      <c r="D770" s="44">
        <v>45949</v>
      </c>
      <c r="E770" s="44">
        <v>45952</v>
      </c>
      <c r="F770" s="44">
        <v>45956</v>
      </c>
      <c r="G770" s="44">
        <v>45963</v>
      </c>
      <c r="H770" s="45" t="str">
        <f t="shared" si="59"/>
        <v>Delivered</v>
      </c>
      <c r="I770" s="48">
        <f t="shared" si="55"/>
        <v>3</v>
      </c>
      <c r="J770" s="48">
        <f t="shared" si="56"/>
        <v>4</v>
      </c>
      <c r="K770" s="48">
        <f t="shared" si="57"/>
        <v>7</v>
      </c>
      <c r="L770" s="39" t="s">
        <v>9</v>
      </c>
      <c r="N770" s="44">
        <v>45974</v>
      </c>
      <c r="O770" s="39">
        <v>3</v>
      </c>
      <c r="P770" s="39">
        <v>4</v>
      </c>
      <c r="Q770" s="39">
        <v>7</v>
      </c>
      <c r="R770" s="39">
        <v>4</v>
      </c>
      <c r="S770" s="51" t="str">
        <f t="shared" si="58"/>
        <v>Detractor</v>
      </c>
    </row>
    <row r="771" ht="14.25" customHeight="1" spans="1:19">
      <c r="A771" s="43" t="s">
        <v>813</v>
      </c>
      <c r="B771" s="43" t="s">
        <v>13</v>
      </c>
      <c r="C771" s="43" t="s">
        <v>22</v>
      </c>
      <c r="D771" s="44">
        <v>45943</v>
      </c>
      <c r="E771" s="44">
        <v>45945</v>
      </c>
      <c r="F771" s="44">
        <v>45949</v>
      </c>
      <c r="G771" s="44">
        <v>45956</v>
      </c>
      <c r="H771" s="45" t="str">
        <f t="shared" si="59"/>
        <v>Delivered</v>
      </c>
      <c r="I771" s="48">
        <f t="shared" ref="I771:I834" si="60">IF(E771&gt;D771,E771-D771,0)</f>
        <v>2</v>
      </c>
      <c r="J771" s="48">
        <f t="shared" ref="J771:J834" si="61">IF(F771&gt;E771,F771-E771,0)</f>
        <v>4</v>
      </c>
      <c r="K771" s="48">
        <f t="shared" ref="K771:K834" si="62">IF(G771&gt;F771,G771-F771,0)</f>
        <v>7</v>
      </c>
      <c r="L771" s="39" t="s">
        <v>9</v>
      </c>
      <c r="N771" s="44">
        <v>45975</v>
      </c>
      <c r="O771" s="39">
        <v>2</v>
      </c>
      <c r="P771" s="39">
        <v>4</v>
      </c>
      <c r="Q771" s="39">
        <v>7</v>
      </c>
      <c r="R771" s="39">
        <v>0</v>
      </c>
      <c r="S771" s="51" t="str">
        <f t="shared" ref="S771:S834" si="63">IF(R771&gt;=9,"Promoter",IF(R771&gt;=7,"Passive","Detractor"))</f>
        <v>Detractor</v>
      </c>
    </row>
    <row r="772" ht="14.25" customHeight="1" spans="1:19">
      <c r="A772" s="43" t="s">
        <v>814</v>
      </c>
      <c r="B772" s="43" t="s">
        <v>12</v>
      </c>
      <c r="C772" s="43" t="s">
        <v>20</v>
      </c>
      <c r="D772" s="44">
        <v>45957</v>
      </c>
      <c r="H772" s="45" t="str">
        <f t="shared" si="59"/>
        <v>Cancelled</v>
      </c>
      <c r="I772" s="48">
        <f t="shared" si="60"/>
        <v>0</v>
      </c>
      <c r="J772" s="48">
        <f t="shared" si="61"/>
        <v>0</v>
      </c>
      <c r="K772" s="48">
        <f t="shared" si="62"/>
        <v>0</v>
      </c>
      <c r="L772" s="39" t="s">
        <v>10</v>
      </c>
      <c r="M772" s="39" t="s">
        <v>44</v>
      </c>
      <c r="S772" s="51" t="str">
        <f t="shared" si="63"/>
        <v>Detractor</v>
      </c>
    </row>
    <row r="773" ht="14.25" customHeight="1" spans="1:19">
      <c r="A773" s="43" t="s">
        <v>815</v>
      </c>
      <c r="B773" s="43" t="s">
        <v>12</v>
      </c>
      <c r="C773" s="43" t="s">
        <v>20</v>
      </c>
      <c r="D773" s="44">
        <v>45951</v>
      </c>
      <c r="H773" s="45" t="str">
        <f t="shared" ref="H773:H836" si="64">IF(G773&lt;&gt;"","Delivered",IF(F773&lt;&gt;"","Booked",IF(E773&lt;&gt;"","Pre-Booked",IF(D773&lt;&gt;"","Cancelled",""))))</f>
        <v>Cancelled</v>
      </c>
      <c r="I773" s="48">
        <f t="shared" si="60"/>
        <v>0</v>
      </c>
      <c r="J773" s="48">
        <f t="shared" si="61"/>
        <v>0</v>
      </c>
      <c r="K773" s="48">
        <f t="shared" si="62"/>
        <v>0</v>
      </c>
      <c r="L773" s="39" t="s">
        <v>10</v>
      </c>
      <c r="M773" s="39" t="s">
        <v>42</v>
      </c>
      <c r="S773" s="51" t="str">
        <f t="shared" si="63"/>
        <v>Detractor</v>
      </c>
    </row>
    <row r="774" ht="14.25" customHeight="1" spans="1:19">
      <c r="A774" s="43" t="s">
        <v>816</v>
      </c>
      <c r="B774" s="43" t="s">
        <v>13</v>
      </c>
      <c r="C774" s="43" t="s">
        <v>21</v>
      </c>
      <c r="D774" s="44">
        <v>45961</v>
      </c>
      <c r="E774" s="44">
        <v>45966</v>
      </c>
      <c r="F774" s="44">
        <v>45971</v>
      </c>
      <c r="G774" s="44">
        <v>45975</v>
      </c>
      <c r="H774" s="45" t="str">
        <f t="shared" si="64"/>
        <v>Delivered</v>
      </c>
      <c r="I774" s="48">
        <f t="shared" si="60"/>
        <v>5</v>
      </c>
      <c r="J774" s="48">
        <f t="shared" si="61"/>
        <v>5</v>
      </c>
      <c r="K774" s="48">
        <f t="shared" si="62"/>
        <v>4</v>
      </c>
      <c r="L774" s="39" t="s">
        <v>9</v>
      </c>
      <c r="N774" s="44">
        <v>45994</v>
      </c>
      <c r="O774" s="39">
        <v>5</v>
      </c>
      <c r="P774" s="39">
        <v>5</v>
      </c>
      <c r="Q774" s="39">
        <v>4</v>
      </c>
      <c r="R774" s="39">
        <v>4</v>
      </c>
      <c r="S774" s="51" t="str">
        <f t="shared" si="63"/>
        <v>Detractor</v>
      </c>
    </row>
    <row r="775" ht="14.25" customHeight="1" spans="1:19">
      <c r="A775" s="43" t="s">
        <v>817</v>
      </c>
      <c r="B775" s="43" t="s">
        <v>14</v>
      </c>
      <c r="C775" s="43" t="s">
        <v>21</v>
      </c>
      <c r="D775" s="44">
        <v>45942</v>
      </c>
      <c r="E775" s="44">
        <v>45947</v>
      </c>
      <c r="F775" s="44">
        <v>45952</v>
      </c>
      <c r="G775" s="44">
        <v>45956</v>
      </c>
      <c r="H775" s="45" t="str">
        <f t="shared" si="64"/>
        <v>Delivered</v>
      </c>
      <c r="I775" s="48">
        <f t="shared" si="60"/>
        <v>5</v>
      </c>
      <c r="J775" s="48">
        <f t="shared" si="61"/>
        <v>5</v>
      </c>
      <c r="K775" s="48">
        <f t="shared" si="62"/>
        <v>4</v>
      </c>
      <c r="L775" s="39" t="s">
        <v>9</v>
      </c>
      <c r="N775" s="44">
        <v>45980</v>
      </c>
      <c r="O775" s="39">
        <v>5</v>
      </c>
      <c r="P775" s="39">
        <v>5</v>
      </c>
      <c r="Q775" s="39">
        <v>4</v>
      </c>
      <c r="R775" s="39">
        <v>1</v>
      </c>
      <c r="S775" s="51" t="str">
        <f t="shared" si="63"/>
        <v>Detractor</v>
      </c>
    </row>
    <row r="776" ht="14.25" customHeight="1" spans="1:19">
      <c r="A776" s="43" t="s">
        <v>818</v>
      </c>
      <c r="B776" s="43" t="s">
        <v>12</v>
      </c>
      <c r="C776" s="43" t="s">
        <v>20</v>
      </c>
      <c r="D776" s="44">
        <v>45934</v>
      </c>
      <c r="H776" s="45" t="str">
        <f t="shared" si="64"/>
        <v>Cancelled</v>
      </c>
      <c r="I776" s="48">
        <f t="shared" si="60"/>
        <v>0</v>
      </c>
      <c r="J776" s="48">
        <f t="shared" si="61"/>
        <v>0</v>
      </c>
      <c r="K776" s="48">
        <f t="shared" si="62"/>
        <v>0</v>
      </c>
      <c r="L776" s="39" t="s">
        <v>10</v>
      </c>
      <c r="M776" s="39" t="s">
        <v>49</v>
      </c>
      <c r="S776" s="51" t="str">
        <f t="shared" si="63"/>
        <v>Detractor</v>
      </c>
    </row>
    <row r="777" ht="14.25" customHeight="1" spans="1:19">
      <c r="A777" s="43" t="s">
        <v>819</v>
      </c>
      <c r="B777" s="43" t="s">
        <v>12</v>
      </c>
      <c r="C777" s="43" t="s">
        <v>21</v>
      </c>
      <c r="D777" s="44">
        <v>45952</v>
      </c>
      <c r="E777" s="44">
        <v>45954</v>
      </c>
      <c r="F777" s="44">
        <v>45959</v>
      </c>
      <c r="G777" s="44">
        <v>45964</v>
      </c>
      <c r="H777" s="45" t="str">
        <f t="shared" si="64"/>
        <v>Delivered</v>
      </c>
      <c r="I777" s="48">
        <f t="shared" si="60"/>
        <v>2</v>
      </c>
      <c r="J777" s="48">
        <f t="shared" si="61"/>
        <v>5</v>
      </c>
      <c r="K777" s="48">
        <f t="shared" si="62"/>
        <v>5</v>
      </c>
      <c r="L777" s="39" t="s">
        <v>9</v>
      </c>
      <c r="N777" s="44">
        <v>45990</v>
      </c>
      <c r="O777" s="39">
        <v>2</v>
      </c>
      <c r="P777" s="39">
        <v>5</v>
      </c>
      <c r="Q777" s="39">
        <v>5</v>
      </c>
      <c r="R777" s="39">
        <v>10</v>
      </c>
      <c r="S777" s="51" t="str">
        <f t="shared" si="63"/>
        <v>Promoter</v>
      </c>
    </row>
    <row r="778" ht="14.25" customHeight="1" spans="1:19">
      <c r="A778" s="43" t="s">
        <v>820</v>
      </c>
      <c r="B778" s="43" t="s">
        <v>12</v>
      </c>
      <c r="C778" s="43" t="s">
        <v>22</v>
      </c>
      <c r="D778" s="44">
        <v>45938</v>
      </c>
      <c r="E778" s="44">
        <v>45940</v>
      </c>
      <c r="F778" s="44">
        <v>45944</v>
      </c>
      <c r="G778" s="44">
        <v>45948</v>
      </c>
      <c r="H778" s="45" t="str">
        <f t="shared" si="64"/>
        <v>Delivered</v>
      </c>
      <c r="I778" s="48">
        <f t="shared" si="60"/>
        <v>2</v>
      </c>
      <c r="J778" s="48">
        <f t="shared" si="61"/>
        <v>4</v>
      </c>
      <c r="K778" s="48">
        <f t="shared" si="62"/>
        <v>4</v>
      </c>
      <c r="L778" s="39" t="s">
        <v>9</v>
      </c>
      <c r="N778" s="44">
        <v>45977</v>
      </c>
      <c r="O778" s="39">
        <v>2</v>
      </c>
      <c r="P778" s="39">
        <v>4</v>
      </c>
      <c r="Q778" s="39">
        <v>4</v>
      </c>
      <c r="R778" s="39">
        <v>1</v>
      </c>
      <c r="S778" s="51" t="str">
        <f t="shared" si="63"/>
        <v>Detractor</v>
      </c>
    </row>
    <row r="779" ht="14.25" customHeight="1" spans="1:19">
      <c r="A779" s="43" t="s">
        <v>821</v>
      </c>
      <c r="B779" s="43" t="s">
        <v>11</v>
      </c>
      <c r="C779" s="43" t="s">
        <v>20</v>
      </c>
      <c r="D779" s="44">
        <v>45946</v>
      </c>
      <c r="H779" s="45" t="str">
        <f t="shared" si="64"/>
        <v>Cancelled</v>
      </c>
      <c r="I779" s="48">
        <f t="shared" si="60"/>
        <v>0</v>
      </c>
      <c r="J779" s="48">
        <f t="shared" si="61"/>
        <v>0</v>
      </c>
      <c r="K779" s="48">
        <f t="shared" si="62"/>
        <v>0</v>
      </c>
      <c r="L779" s="39" t="s">
        <v>10</v>
      </c>
      <c r="M779" s="39" t="s">
        <v>79</v>
      </c>
      <c r="S779" s="51" t="str">
        <f t="shared" si="63"/>
        <v>Detractor</v>
      </c>
    </row>
    <row r="780" ht="14.25" customHeight="1" spans="1:19">
      <c r="A780" s="43" t="s">
        <v>822</v>
      </c>
      <c r="B780" s="43" t="s">
        <v>13</v>
      </c>
      <c r="C780" s="43" t="s">
        <v>22</v>
      </c>
      <c r="D780" s="44">
        <v>45931</v>
      </c>
      <c r="E780" s="44">
        <v>45935</v>
      </c>
      <c r="F780" s="44">
        <v>45936</v>
      </c>
      <c r="G780" s="44">
        <v>45939</v>
      </c>
      <c r="H780" s="45" t="str">
        <f t="shared" si="64"/>
        <v>Delivered</v>
      </c>
      <c r="I780" s="48">
        <f t="shared" si="60"/>
        <v>4</v>
      </c>
      <c r="J780" s="48">
        <f t="shared" si="61"/>
        <v>1</v>
      </c>
      <c r="K780" s="48">
        <f t="shared" si="62"/>
        <v>3</v>
      </c>
      <c r="L780" s="39" t="s">
        <v>9</v>
      </c>
      <c r="N780" s="44">
        <v>45965</v>
      </c>
      <c r="O780" s="39">
        <v>4</v>
      </c>
      <c r="P780" s="39">
        <v>1</v>
      </c>
      <c r="Q780" s="39">
        <v>3</v>
      </c>
      <c r="R780" s="39">
        <v>3</v>
      </c>
      <c r="S780" s="51" t="str">
        <f t="shared" si="63"/>
        <v>Detractor</v>
      </c>
    </row>
    <row r="781" ht="14.25" customHeight="1" spans="1:19">
      <c r="A781" s="43" t="s">
        <v>823</v>
      </c>
      <c r="B781" s="43" t="s">
        <v>11</v>
      </c>
      <c r="C781" s="43" t="s">
        <v>22</v>
      </c>
      <c r="D781" s="44">
        <v>45950</v>
      </c>
      <c r="E781" s="44">
        <v>45955</v>
      </c>
      <c r="F781" s="44">
        <v>45956</v>
      </c>
      <c r="G781" s="44">
        <v>45958</v>
      </c>
      <c r="H781" s="45" t="str">
        <f t="shared" si="64"/>
        <v>Delivered</v>
      </c>
      <c r="I781" s="48">
        <f t="shared" si="60"/>
        <v>5</v>
      </c>
      <c r="J781" s="48">
        <f t="shared" si="61"/>
        <v>1</v>
      </c>
      <c r="K781" s="48">
        <f t="shared" si="62"/>
        <v>2</v>
      </c>
      <c r="L781" s="39" t="s">
        <v>9</v>
      </c>
      <c r="N781" s="44">
        <v>45978</v>
      </c>
      <c r="O781" s="39">
        <v>5</v>
      </c>
      <c r="P781" s="39">
        <v>1</v>
      </c>
      <c r="Q781" s="39">
        <v>2</v>
      </c>
      <c r="R781" s="39">
        <v>2</v>
      </c>
      <c r="S781" s="51" t="str">
        <f t="shared" si="63"/>
        <v>Detractor</v>
      </c>
    </row>
    <row r="782" ht="14.25" customHeight="1" spans="1:19">
      <c r="A782" s="43" t="s">
        <v>824</v>
      </c>
      <c r="B782" s="43" t="s">
        <v>13</v>
      </c>
      <c r="C782" s="43" t="s">
        <v>22</v>
      </c>
      <c r="D782" s="44">
        <v>45959</v>
      </c>
      <c r="E782" s="44">
        <v>45960</v>
      </c>
      <c r="F782" s="44">
        <v>45961</v>
      </c>
      <c r="G782" s="44">
        <v>45964</v>
      </c>
      <c r="H782" s="45" t="str">
        <f t="shared" si="64"/>
        <v>Delivered</v>
      </c>
      <c r="I782" s="48">
        <f t="shared" si="60"/>
        <v>1</v>
      </c>
      <c r="J782" s="48">
        <f t="shared" si="61"/>
        <v>1</v>
      </c>
      <c r="K782" s="48">
        <f t="shared" si="62"/>
        <v>3</v>
      </c>
      <c r="L782" s="39" t="s">
        <v>9</v>
      </c>
      <c r="N782" s="44">
        <v>45987</v>
      </c>
      <c r="O782" s="39">
        <v>1</v>
      </c>
      <c r="P782" s="39">
        <v>1</v>
      </c>
      <c r="Q782" s="39">
        <v>3</v>
      </c>
      <c r="R782" s="39">
        <v>2</v>
      </c>
      <c r="S782" s="51" t="str">
        <f t="shared" si="63"/>
        <v>Detractor</v>
      </c>
    </row>
    <row r="783" ht="14.25" customHeight="1" spans="1:19">
      <c r="A783" s="43" t="s">
        <v>825</v>
      </c>
      <c r="B783" s="43" t="s">
        <v>14</v>
      </c>
      <c r="C783" s="43" t="s">
        <v>21</v>
      </c>
      <c r="D783" s="44">
        <v>45961</v>
      </c>
      <c r="E783" s="44">
        <v>45962</v>
      </c>
      <c r="F783" s="44">
        <v>45965</v>
      </c>
      <c r="G783" s="44">
        <v>45968</v>
      </c>
      <c r="H783" s="45" t="str">
        <f t="shared" si="64"/>
        <v>Delivered</v>
      </c>
      <c r="I783" s="48">
        <f t="shared" si="60"/>
        <v>1</v>
      </c>
      <c r="J783" s="48">
        <f t="shared" si="61"/>
        <v>3</v>
      </c>
      <c r="K783" s="48">
        <f t="shared" si="62"/>
        <v>3</v>
      </c>
      <c r="L783" s="39" t="s">
        <v>9</v>
      </c>
      <c r="N783" s="44">
        <v>45982</v>
      </c>
      <c r="O783" s="39">
        <v>1</v>
      </c>
      <c r="P783" s="39">
        <v>3</v>
      </c>
      <c r="Q783" s="39">
        <v>3</v>
      </c>
      <c r="R783" s="39">
        <v>4</v>
      </c>
      <c r="S783" s="51" t="str">
        <f t="shared" si="63"/>
        <v>Detractor</v>
      </c>
    </row>
    <row r="784" ht="14.25" customHeight="1" spans="1:19">
      <c r="A784" s="43" t="s">
        <v>826</v>
      </c>
      <c r="B784" s="43" t="s">
        <v>14</v>
      </c>
      <c r="C784" s="43" t="s">
        <v>20</v>
      </c>
      <c r="D784" s="44">
        <v>45948</v>
      </c>
      <c r="H784" s="45" t="str">
        <f t="shared" si="64"/>
        <v>Cancelled</v>
      </c>
      <c r="I784" s="48">
        <f t="shared" si="60"/>
        <v>0</v>
      </c>
      <c r="J784" s="48">
        <f t="shared" si="61"/>
        <v>0</v>
      </c>
      <c r="K784" s="48">
        <f t="shared" si="62"/>
        <v>0</v>
      </c>
      <c r="L784" s="39" t="s">
        <v>10</v>
      </c>
      <c r="M784" s="39" t="s">
        <v>42</v>
      </c>
      <c r="S784" s="51" t="str">
        <f t="shared" si="63"/>
        <v>Detractor</v>
      </c>
    </row>
    <row r="785" ht="14.25" customHeight="1" spans="1:19">
      <c r="A785" s="43" t="s">
        <v>827</v>
      </c>
      <c r="B785" s="43" t="s">
        <v>12</v>
      </c>
      <c r="C785" s="43" t="s">
        <v>22</v>
      </c>
      <c r="D785" s="44">
        <v>45941</v>
      </c>
      <c r="E785" s="44">
        <v>45946</v>
      </c>
      <c r="F785" s="44">
        <v>45951</v>
      </c>
      <c r="G785" s="44">
        <v>45957</v>
      </c>
      <c r="H785" s="45" t="str">
        <f t="shared" si="64"/>
        <v>Delivered</v>
      </c>
      <c r="I785" s="48">
        <f t="shared" si="60"/>
        <v>5</v>
      </c>
      <c r="J785" s="48">
        <f t="shared" si="61"/>
        <v>5</v>
      </c>
      <c r="K785" s="48">
        <f t="shared" si="62"/>
        <v>6</v>
      </c>
      <c r="L785" s="39" t="s">
        <v>9</v>
      </c>
      <c r="N785" s="44">
        <v>45977</v>
      </c>
      <c r="O785" s="39">
        <v>5</v>
      </c>
      <c r="P785" s="39">
        <v>5</v>
      </c>
      <c r="Q785" s="39">
        <v>6</v>
      </c>
      <c r="R785" s="39">
        <v>9</v>
      </c>
      <c r="S785" s="51" t="str">
        <f t="shared" si="63"/>
        <v>Promoter</v>
      </c>
    </row>
    <row r="786" ht="14.25" customHeight="1" spans="1:19">
      <c r="A786" s="43" t="s">
        <v>828</v>
      </c>
      <c r="B786" s="43" t="s">
        <v>13</v>
      </c>
      <c r="C786" s="43" t="s">
        <v>20</v>
      </c>
      <c r="D786" s="44">
        <v>45960</v>
      </c>
      <c r="H786" s="45" t="str">
        <f t="shared" si="64"/>
        <v>Cancelled</v>
      </c>
      <c r="I786" s="48">
        <f t="shared" si="60"/>
        <v>0</v>
      </c>
      <c r="J786" s="48">
        <f t="shared" si="61"/>
        <v>0</v>
      </c>
      <c r="K786" s="48">
        <f t="shared" si="62"/>
        <v>0</v>
      </c>
      <c r="L786" s="39" t="s">
        <v>10</v>
      </c>
      <c r="M786" s="39" t="s">
        <v>79</v>
      </c>
      <c r="S786" s="51" t="str">
        <f t="shared" si="63"/>
        <v>Detractor</v>
      </c>
    </row>
    <row r="787" ht="14.25" customHeight="1" spans="1:19">
      <c r="A787" s="43" t="s">
        <v>829</v>
      </c>
      <c r="B787" s="43" t="s">
        <v>14</v>
      </c>
      <c r="C787" s="43" t="s">
        <v>21</v>
      </c>
      <c r="D787" s="44">
        <v>45950</v>
      </c>
      <c r="E787" s="44">
        <v>45952</v>
      </c>
      <c r="F787" s="44">
        <v>45953</v>
      </c>
      <c r="G787" s="44">
        <v>45955</v>
      </c>
      <c r="H787" s="45" t="str">
        <f t="shared" si="64"/>
        <v>Delivered</v>
      </c>
      <c r="I787" s="48">
        <f t="shared" si="60"/>
        <v>2</v>
      </c>
      <c r="J787" s="48">
        <f t="shared" si="61"/>
        <v>1</v>
      </c>
      <c r="K787" s="48">
        <f t="shared" si="62"/>
        <v>2</v>
      </c>
      <c r="L787" s="39" t="s">
        <v>9</v>
      </c>
      <c r="N787" s="44">
        <v>45980</v>
      </c>
      <c r="O787" s="39">
        <v>2</v>
      </c>
      <c r="P787" s="39">
        <v>1</v>
      </c>
      <c r="Q787" s="39">
        <v>2</v>
      </c>
      <c r="R787" s="39">
        <v>7</v>
      </c>
      <c r="S787" s="51" t="str">
        <f t="shared" si="63"/>
        <v>Passive</v>
      </c>
    </row>
    <row r="788" ht="14.25" customHeight="1" spans="1:19">
      <c r="A788" s="43" t="s">
        <v>830</v>
      </c>
      <c r="B788" s="43" t="s">
        <v>13</v>
      </c>
      <c r="C788" s="43" t="s">
        <v>20</v>
      </c>
      <c r="D788" s="44">
        <v>45938</v>
      </c>
      <c r="H788" s="45" t="str">
        <f t="shared" si="64"/>
        <v>Cancelled</v>
      </c>
      <c r="I788" s="48">
        <f t="shared" si="60"/>
        <v>0</v>
      </c>
      <c r="J788" s="48">
        <f t="shared" si="61"/>
        <v>0</v>
      </c>
      <c r="K788" s="48">
        <f t="shared" si="62"/>
        <v>0</v>
      </c>
      <c r="L788" s="39" t="s">
        <v>10</v>
      </c>
      <c r="M788" s="39" t="s">
        <v>117</v>
      </c>
      <c r="S788" s="51" t="str">
        <f t="shared" si="63"/>
        <v>Detractor</v>
      </c>
    </row>
    <row r="789" ht="14.25" customHeight="1" spans="1:19">
      <c r="A789" s="43" t="s">
        <v>831</v>
      </c>
      <c r="B789" s="43" t="s">
        <v>14</v>
      </c>
      <c r="C789" s="43" t="s">
        <v>22</v>
      </c>
      <c r="D789" s="44">
        <v>45951</v>
      </c>
      <c r="E789" s="44">
        <v>45954</v>
      </c>
      <c r="F789" s="44">
        <v>45959</v>
      </c>
      <c r="G789" s="44">
        <v>45962</v>
      </c>
      <c r="H789" s="45" t="str">
        <f t="shared" si="64"/>
        <v>Delivered</v>
      </c>
      <c r="I789" s="48">
        <f t="shared" si="60"/>
        <v>3</v>
      </c>
      <c r="J789" s="48">
        <f t="shared" si="61"/>
        <v>5</v>
      </c>
      <c r="K789" s="48">
        <f t="shared" si="62"/>
        <v>3</v>
      </c>
      <c r="L789" s="39" t="s">
        <v>9</v>
      </c>
      <c r="N789" s="44">
        <v>45983</v>
      </c>
      <c r="O789" s="39">
        <v>3</v>
      </c>
      <c r="P789" s="39">
        <v>5</v>
      </c>
      <c r="Q789" s="39">
        <v>3</v>
      </c>
      <c r="R789" s="39">
        <v>3</v>
      </c>
      <c r="S789" s="51" t="str">
        <f t="shared" si="63"/>
        <v>Detractor</v>
      </c>
    </row>
    <row r="790" ht="14.25" customHeight="1" spans="1:19">
      <c r="A790" s="43" t="s">
        <v>832</v>
      </c>
      <c r="B790" s="43" t="s">
        <v>11</v>
      </c>
      <c r="C790" s="43" t="s">
        <v>21</v>
      </c>
      <c r="D790" s="44">
        <v>45933</v>
      </c>
      <c r="E790" s="44">
        <v>45935</v>
      </c>
      <c r="F790" s="44">
        <v>45940</v>
      </c>
      <c r="G790" s="44">
        <v>45942</v>
      </c>
      <c r="H790" s="45" t="str">
        <f t="shared" si="64"/>
        <v>Delivered</v>
      </c>
      <c r="I790" s="48">
        <f t="shared" si="60"/>
        <v>2</v>
      </c>
      <c r="J790" s="48">
        <f t="shared" si="61"/>
        <v>5</v>
      </c>
      <c r="K790" s="48">
        <f t="shared" si="62"/>
        <v>2</v>
      </c>
      <c r="L790" s="39" t="s">
        <v>9</v>
      </c>
      <c r="N790" s="44">
        <v>45958</v>
      </c>
      <c r="O790" s="39">
        <v>2</v>
      </c>
      <c r="P790" s="39">
        <v>5</v>
      </c>
      <c r="Q790" s="39">
        <v>2</v>
      </c>
      <c r="R790" s="39">
        <v>3</v>
      </c>
      <c r="S790" s="51" t="str">
        <f t="shared" si="63"/>
        <v>Detractor</v>
      </c>
    </row>
    <row r="791" ht="14.25" customHeight="1" spans="1:19">
      <c r="A791" s="43" t="s">
        <v>833</v>
      </c>
      <c r="B791" s="43" t="s">
        <v>14</v>
      </c>
      <c r="C791" s="43" t="s">
        <v>21</v>
      </c>
      <c r="D791" s="44">
        <v>45951</v>
      </c>
      <c r="E791" s="44">
        <v>45953</v>
      </c>
      <c r="F791" s="44">
        <v>45956</v>
      </c>
      <c r="G791" s="44">
        <v>45959</v>
      </c>
      <c r="H791" s="45" t="str">
        <f t="shared" si="64"/>
        <v>Delivered</v>
      </c>
      <c r="I791" s="48">
        <f t="shared" si="60"/>
        <v>2</v>
      </c>
      <c r="J791" s="48">
        <f t="shared" si="61"/>
        <v>3</v>
      </c>
      <c r="K791" s="48">
        <f t="shared" si="62"/>
        <v>3</v>
      </c>
      <c r="L791" s="39" t="s">
        <v>9</v>
      </c>
      <c r="N791" s="44">
        <v>45974</v>
      </c>
      <c r="O791" s="39">
        <v>2</v>
      </c>
      <c r="P791" s="39">
        <v>3</v>
      </c>
      <c r="Q791" s="39">
        <v>3</v>
      </c>
      <c r="R791" s="39">
        <v>3</v>
      </c>
      <c r="S791" s="51" t="str">
        <f t="shared" si="63"/>
        <v>Detractor</v>
      </c>
    </row>
    <row r="792" ht="14.25" customHeight="1" spans="1:19">
      <c r="A792" s="43" t="s">
        <v>834</v>
      </c>
      <c r="B792" s="43" t="s">
        <v>11</v>
      </c>
      <c r="C792" s="43" t="s">
        <v>22</v>
      </c>
      <c r="D792" s="44">
        <v>45957</v>
      </c>
      <c r="E792" s="44">
        <v>45960</v>
      </c>
      <c r="F792" s="44">
        <v>45964</v>
      </c>
      <c r="G792" s="44">
        <v>45969</v>
      </c>
      <c r="H792" s="45" t="str">
        <f t="shared" si="64"/>
        <v>Delivered</v>
      </c>
      <c r="I792" s="48">
        <f t="shared" si="60"/>
        <v>3</v>
      </c>
      <c r="J792" s="48">
        <f t="shared" si="61"/>
        <v>4</v>
      </c>
      <c r="K792" s="48">
        <f t="shared" si="62"/>
        <v>5</v>
      </c>
      <c r="L792" s="39" t="s">
        <v>9</v>
      </c>
      <c r="N792" s="44">
        <v>45991</v>
      </c>
      <c r="O792" s="39">
        <v>3</v>
      </c>
      <c r="P792" s="39">
        <v>4</v>
      </c>
      <c r="Q792" s="39">
        <v>5</v>
      </c>
      <c r="R792" s="39">
        <v>5</v>
      </c>
      <c r="S792" s="51" t="str">
        <f t="shared" si="63"/>
        <v>Detractor</v>
      </c>
    </row>
    <row r="793" ht="14.25" customHeight="1" spans="1:19">
      <c r="A793" s="43" t="s">
        <v>835</v>
      </c>
      <c r="B793" s="43" t="s">
        <v>14</v>
      </c>
      <c r="C793" s="43" t="s">
        <v>22</v>
      </c>
      <c r="D793" s="44">
        <v>45945</v>
      </c>
      <c r="E793" s="44">
        <v>45947</v>
      </c>
      <c r="F793" s="44">
        <v>45948</v>
      </c>
      <c r="G793" s="44">
        <v>45953</v>
      </c>
      <c r="H793" s="45" t="str">
        <f t="shared" si="64"/>
        <v>Delivered</v>
      </c>
      <c r="I793" s="48">
        <f t="shared" si="60"/>
        <v>2</v>
      </c>
      <c r="J793" s="48">
        <f t="shared" si="61"/>
        <v>1</v>
      </c>
      <c r="K793" s="48">
        <f t="shared" si="62"/>
        <v>5</v>
      </c>
      <c r="L793" s="39" t="s">
        <v>9</v>
      </c>
      <c r="N793" s="44">
        <v>45963</v>
      </c>
      <c r="O793" s="39">
        <v>2</v>
      </c>
      <c r="P793" s="39">
        <v>1</v>
      </c>
      <c r="Q793" s="39">
        <v>5</v>
      </c>
      <c r="R793" s="39">
        <v>8</v>
      </c>
      <c r="S793" s="51" t="str">
        <f t="shared" si="63"/>
        <v>Passive</v>
      </c>
    </row>
    <row r="794" ht="14.25" customHeight="1" spans="1:19">
      <c r="A794" s="43" t="s">
        <v>836</v>
      </c>
      <c r="B794" s="43" t="s">
        <v>12</v>
      </c>
      <c r="C794" s="43" t="s">
        <v>20</v>
      </c>
      <c r="D794" s="44">
        <v>45960</v>
      </c>
      <c r="H794" s="45" t="str">
        <f t="shared" si="64"/>
        <v>Cancelled</v>
      </c>
      <c r="I794" s="48">
        <f t="shared" si="60"/>
        <v>0</v>
      </c>
      <c r="J794" s="48">
        <f t="shared" si="61"/>
        <v>0</v>
      </c>
      <c r="K794" s="48">
        <f t="shared" si="62"/>
        <v>0</v>
      </c>
      <c r="L794" s="39" t="s">
        <v>10</v>
      </c>
      <c r="M794" s="39" t="s">
        <v>117</v>
      </c>
      <c r="S794" s="51" t="str">
        <f t="shared" si="63"/>
        <v>Detractor</v>
      </c>
    </row>
    <row r="795" ht="14.25" customHeight="1" spans="1:19">
      <c r="A795" s="43" t="s">
        <v>837</v>
      </c>
      <c r="B795" s="43" t="s">
        <v>11</v>
      </c>
      <c r="C795" s="43" t="s">
        <v>21</v>
      </c>
      <c r="D795" s="44">
        <v>45953</v>
      </c>
      <c r="E795" s="44">
        <v>45956</v>
      </c>
      <c r="F795" s="44">
        <v>45959</v>
      </c>
      <c r="G795" s="44">
        <v>45963</v>
      </c>
      <c r="H795" s="45" t="str">
        <f t="shared" si="64"/>
        <v>Delivered</v>
      </c>
      <c r="I795" s="48">
        <f t="shared" si="60"/>
        <v>3</v>
      </c>
      <c r="J795" s="48">
        <f t="shared" si="61"/>
        <v>3</v>
      </c>
      <c r="K795" s="48">
        <f t="shared" si="62"/>
        <v>4</v>
      </c>
      <c r="L795" s="39" t="s">
        <v>9</v>
      </c>
      <c r="N795" s="44">
        <v>45980</v>
      </c>
      <c r="O795" s="39">
        <v>3</v>
      </c>
      <c r="P795" s="39">
        <v>3</v>
      </c>
      <c r="Q795" s="39">
        <v>4</v>
      </c>
      <c r="R795" s="39">
        <v>1</v>
      </c>
      <c r="S795" s="51" t="str">
        <f t="shared" si="63"/>
        <v>Detractor</v>
      </c>
    </row>
    <row r="796" ht="14.25" customHeight="1" spans="1:19">
      <c r="A796" s="43" t="s">
        <v>838</v>
      </c>
      <c r="B796" s="43" t="s">
        <v>14</v>
      </c>
      <c r="C796" s="43" t="s">
        <v>21</v>
      </c>
      <c r="D796" s="44">
        <v>45940</v>
      </c>
      <c r="E796" s="44">
        <v>45945</v>
      </c>
      <c r="F796" s="44">
        <v>45949</v>
      </c>
      <c r="G796" s="44">
        <v>45954</v>
      </c>
      <c r="H796" s="45" t="str">
        <f t="shared" si="64"/>
        <v>Delivered</v>
      </c>
      <c r="I796" s="48">
        <f t="shared" si="60"/>
        <v>5</v>
      </c>
      <c r="J796" s="48">
        <f t="shared" si="61"/>
        <v>4</v>
      </c>
      <c r="K796" s="48">
        <f t="shared" si="62"/>
        <v>5</v>
      </c>
      <c r="L796" s="39" t="s">
        <v>9</v>
      </c>
      <c r="N796" s="44">
        <v>45971</v>
      </c>
      <c r="O796" s="39">
        <v>5</v>
      </c>
      <c r="P796" s="39">
        <v>4</v>
      </c>
      <c r="Q796" s="39">
        <v>5</v>
      </c>
      <c r="R796" s="39">
        <v>10</v>
      </c>
      <c r="S796" s="51" t="str">
        <f t="shared" si="63"/>
        <v>Promoter</v>
      </c>
    </row>
    <row r="797" ht="14.25" customHeight="1" spans="1:19">
      <c r="A797" s="43" t="s">
        <v>839</v>
      </c>
      <c r="B797" s="43" t="s">
        <v>12</v>
      </c>
      <c r="C797" s="43" t="s">
        <v>22</v>
      </c>
      <c r="D797" s="44">
        <v>45951</v>
      </c>
      <c r="E797" s="44">
        <v>45954</v>
      </c>
      <c r="F797" s="44">
        <v>45958</v>
      </c>
      <c r="G797" s="44">
        <v>45960</v>
      </c>
      <c r="H797" s="45" t="str">
        <f t="shared" si="64"/>
        <v>Delivered</v>
      </c>
      <c r="I797" s="48">
        <f t="shared" si="60"/>
        <v>3</v>
      </c>
      <c r="J797" s="48">
        <f t="shared" si="61"/>
        <v>4</v>
      </c>
      <c r="K797" s="48">
        <f t="shared" si="62"/>
        <v>2</v>
      </c>
      <c r="L797" s="39" t="s">
        <v>9</v>
      </c>
      <c r="N797" s="44">
        <v>45974</v>
      </c>
      <c r="O797" s="39">
        <v>3</v>
      </c>
      <c r="P797" s="39">
        <v>4</v>
      </c>
      <c r="Q797" s="39">
        <v>2</v>
      </c>
      <c r="R797" s="39">
        <v>4</v>
      </c>
      <c r="S797" s="51" t="str">
        <f t="shared" si="63"/>
        <v>Detractor</v>
      </c>
    </row>
    <row r="798" ht="14.25" customHeight="1" spans="1:19">
      <c r="A798" s="43" t="s">
        <v>840</v>
      </c>
      <c r="B798" s="43" t="s">
        <v>11</v>
      </c>
      <c r="C798" s="43" t="s">
        <v>22</v>
      </c>
      <c r="D798" s="44">
        <v>45944</v>
      </c>
      <c r="E798" s="44">
        <v>45945</v>
      </c>
      <c r="F798" s="44">
        <v>45946</v>
      </c>
      <c r="G798" s="44">
        <v>45952</v>
      </c>
      <c r="H798" s="45" t="str">
        <f t="shared" si="64"/>
        <v>Delivered</v>
      </c>
      <c r="I798" s="48">
        <f t="shared" si="60"/>
        <v>1</v>
      </c>
      <c r="J798" s="48">
        <f t="shared" si="61"/>
        <v>1</v>
      </c>
      <c r="K798" s="48">
        <f t="shared" si="62"/>
        <v>6</v>
      </c>
      <c r="L798" s="39" t="s">
        <v>9</v>
      </c>
      <c r="N798" s="44">
        <v>45968</v>
      </c>
      <c r="O798" s="39">
        <v>1</v>
      </c>
      <c r="P798" s="39">
        <v>1</v>
      </c>
      <c r="Q798" s="39">
        <v>6</v>
      </c>
      <c r="R798" s="39">
        <v>8</v>
      </c>
      <c r="S798" s="51" t="str">
        <f t="shared" si="63"/>
        <v>Passive</v>
      </c>
    </row>
    <row r="799" ht="14.25" customHeight="1" spans="1:19">
      <c r="A799" s="43" t="s">
        <v>841</v>
      </c>
      <c r="B799" s="43" t="s">
        <v>12</v>
      </c>
      <c r="C799" s="43" t="s">
        <v>22</v>
      </c>
      <c r="D799" s="44">
        <v>45934</v>
      </c>
      <c r="E799" s="44">
        <v>45937</v>
      </c>
      <c r="F799" s="44">
        <v>45942</v>
      </c>
      <c r="G799" s="44">
        <v>45946</v>
      </c>
      <c r="H799" s="45" t="str">
        <f t="shared" si="64"/>
        <v>Delivered</v>
      </c>
      <c r="I799" s="48">
        <f t="shared" si="60"/>
        <v>3</v>
      </c>
      <c r="J799" s="48">
        <f t="shared" si="61"/>
        <v>5</v>
      </c>
      <c r="K799" s="48">
        <f t="shared" si="62"/>
        <v>4</v>
      </c>
      <c r="L799" s="39" t="s">
        <v>9</v>
      </c>
      <c r="N799" s="44">
        <v>45956</v>
      </c>
      <c r="O799" s="39">
        <v>3</v>
      </c>
      <c r="P799" s="39">
        <v>5</v>
      </c>
      <c r="Q799" s="39">
        <v>4</v>
      </c>
      <c r="R799" s="39">
        <v>7</v>
      </c>
      <c r="S799" s="51" t="str">
        <f t="shared" si="63"/>
        <v>Passive</v>
      </c>
    </row>
    <row r="800" ht="14.25" customHeight="1" spans="1:19">
      <c r="A800" s="43" t="s">
        <v>842</v>
      </c>
      <c r="B800" s="43" t="s">
        <v>13</v>
      </c>
      <c r="C800" s="43" t="s">
        <v>20</v>
      </c>
      <c r="D800" s="44">
        <v>45935</v>
      </c>
      <c r="H800" s="45" t="str">
        <f t="shared" si="64"/>
        <v>Cancelled</v>
      </c>
      <c r="I800" s="48">
        <f t="shared" si="60"/>
        <v>0</v>
      </c>
      <c r="J800" s="48">
        <f t="shared" si="61"/>
        <v>0</v>
      </c>
      <c r="K800" s="48">
        <f t="shared" si="62"/>
        <v>0</v>
      </c>
      <c r="L800" s="39" t="s">
        <v>10</v>
      </c>
      <c r="M800" s="39" t="s">
        <v>117</v>
      </c>
      <c r="S800" s="51" t="str">
        <f t="shared" si="63"/>
        <v>Detractor</v>
      </c>
    </row>
    <row r="801" ht="14.25" customHeight="1" spans="1:19">
      <c r="A801" s="43" t="s">
        <v>843</v>
      </c>
      <c r="B801" s="43" t="s">
        <v>13</v>
      </c>
      <c r="C801" s="43" t="s">
        <v>20</v>
      </c>
      <c r="D801" s="44">
        <v>45932</v>
      </c>
      <c r="H801" s="45" t="str">
        <f t="shared" si="64"/>
        <v>Cancelled</v>
      </c>
      <c r="I801" s="48">
        <f t="shared" si="60"/>
        <v>0</v>
      </c>
      <c r="J801" s="48">
        <f t="shared" si="61"/>
        <v>0</v>
      </c>
      <c r="K801" s="48">
        <f t="shared" si="62"/>
        <v>0</v>
      </c>
      <c r="L801" s="39" t="s">
        <v>10</v>
      </c>
      <c r="M801" s="39" t="s">
        <v>79</v>
      </c>
      <c r="S801" s="51" t="str">
        <f t="shared" si="63"/>
        <v>Detractor</v>
      </c>
    </row>
    <row r="802" ht="14.25" customHeight="1" spans="1:19">
      <c r="A802" s="43" t="s">
        <v>844</v>
      </c>
      <c r="B802" s="43" t="s">
        <v>11</v>
      </c>
      <c r="C802" s="43" t="s">
        <v>20</v>
      </c>
      <c r="D802" s="44">
        <v>45961</v>
      </c>
      <c r="H802" s="45" t="str">
        <f t="shared" si="64"/>
        <v>Cancelled</v>
      </c>
      <c r="I802" s="48">
        <f t="shared" si="60"/>
        <v>0</v>
      </c>
      <c r="J802" s="48">
        <f t="shared" si="61"/>
        <v>0</v>
      </c>
      <c r="K802" s="48">
        <f t="shared" si="62"/>
        <v>0</v>
      </c>
      <c r="L802" s="39" t="s">
        <v>10</v>
      </c>
      <c r="M802" s="39" t="s">
        <v>42</v>
      </c>
      <c r="S802" s="51" t="str">
        <f t="shared" si="63"/>
        <v>Detractor</v>
      </c>
    </row>
    <row r="803" ht="14.25" customHeight="1" spans="1:19">
      <c r="A803" s="43" t="s">
        <v>845</v>
      </c>
      <c r="B803" s="43" t="s">
        <v>14</v>
      </c>
      <c r="C803" s="43" t="s">
        <v>22</v>
      </c>
      <c r="D803" s="44">
        <v>45932</v>
      </c>
      <c r="E803" s="44">
        <v>45934</v>
      </c>
      <c r="F803" s="44">
        <v>45936</v>
      </c>
      <c r="G803" s="44">
        <v>45939</v>
      </c>
      <c r="H803" s="45" t="str">
        <f t="shared" si="64"/>
        <v>Delivered</v>
      </c>
      <c r="I803" s="48">
        <f t="shared" si="60"/>
        <v>2</v>
      </c>
      <c r="J803" s="48">
        <f t="shared" si="61"/>
        <v>2</v>
      </c>
      <c r="K803" s="48">
        <f t="shared" si="62"/>
        <v>3</v>
      </c>
      <c r="L803" s="39" t="s">
        <v>10</v>
      </c>
      <c r="M803" s="39" t="s">
        <v>117</v>
      </c>
      <c r="O803" s="39">
        <v>2</v>
      </c>
      <c r="P803" s="39">
        <v>2</v>
      </c>
      <c r="Q803" s="39">
        <v>3</v>
      </c>
      <c r="S803" s="51" t="str">
        <f t="shared" si="63"/>
        <v>Detractor</v>
      </c>
    </row>
    <row r="804" ht="14.25" customHeight="1" spans="1:19">
      <c r="A804" s="43" t="s">
        <v>846</v>
      </c>
      <c r="B804" s="43" t="s">
        <v>11</v>
      </c>
      <c r="C804" s="43" t="s">
        <v>22</v>
      </c>
      <c r="D804" s="44">
        <v>45940</v>
      </c>
      <c r="E804" s="44">
        <v>45945</v>
      </c>
      <c r="F804" s="44">
        <v>45950</v>
      </c>
      <c r="G804" s="44">
        <v>45955</v>
      </c>
      <c r="H804" s="45" t="str">
        <f t="shared" si="64"/>
        <v>Delivered</v>
      </c>
      <c r="I804" s="48">
        <f t="shared" si="60"/>
        <v>5</v>
      </c>
      <c r="J804" s="48">
        <f t="shared" si="61"/>
        <v>5</v>
      </c>
      <c r="K804" s="48">
        <f t="shared" si="62"/>
        <v>5</v>
      </c>
      <c r="L804" s="39" t="s">
        <v>9</v>
      </c>
      <c r="N804" s="44">
        <v>45983</v>
      </c>
      <c r="O804" s="39">
        <v>5</v>
      </c>
      <c r="P804" s="39">
        <v>5</v>
      </c>
      <c r="Q804" s="39">
        <v>5</v>
      </c>
      <c r="R804" s="39">
        <v>10</v>
      </c>
      <c r="S804" s="51" t="str">
        <f t="shared" si="63"/>
        <v>Promoter</v>
      </c>
    </row>
    <row r="805" ht="14.25" customHeight="1" spans="1:19">
      <c r="A805" s="43" t="s">
        <v>847</v>
      </c>
      <c r="B805" s="43" t="s">
        <v>12</v>
      </c>
      <c r="C805" s="43" t="s">
        <v>22</v>
      </c>
      <c r="D805" s="44">
        <v>45946</v>
      </c>
      <c r="E805" s="44">
        <v>45949</v>
      </c>
      <c r="F805" s="44">
        <v>45954</v>
      </c>
      <c r="G805" s="44">
        <v>45958</v>
      </c>
      <c r="H805" s="45" t="str">
        <f t="shared" si="64"/>
        <v>Delivered</v>
      </c>
      <c r="I805" s="48">
        <f t="shared" si="60"/>
        <v>3</v>
      </c>
      <c r="J805" s="48">
        <f t="shared" si="61"/>
        <v>5</v>
      </c>
      <c r="K805" s="48">
        <f t="shared" si="62"/>
        <v>4</v>
      </c>
      <c r="L805" s="39" t="s">
        <v>9</v>
      </c>
      <c r="N805" s="44">
        <v>45984</v>
      </c>
      <c r="O805" s="39">
        <v>3</v>
      </c>
      <c r="P805" s="39">
        <v>5</v>
      </c>
      <c r="Q805" s="39">
        <v>4</v>
      </c>
      <c r="R805" s="39">
        <v>1</v>
      </c>
      <c r="S805" s="51" t="str">
        <f t="shared" si="63"/>
        <v>Detractor</v>
      </c>
    </row>
    <row r="806" ht="14.25" customHeight="1" spans="1:19">
      <c r="A806" s="43" t="s">
        <v>848</v>
      </c>
      <c r="B806" s="43" t="s">
        <v>14</v>
      </c>
      <c r="C806" s="43" t="s">
        <v>22</v>
      </c>
      <c r="D806" s="44">
        <v>45934</v>
      </c>
      <c r="E806" s="44">
        <v>45936</v>
      </c>
      <c r="F806" s="44">
        <v>45938</v>
      </c>
      <c r="G806" s="44">
        <v>45943</v>
      </c>
      <c r="H806" s="45" t="str">
        <f t="shared" si="64"/>
        <v>Delivered</v>
      </c>
      <c r="I806" s="48">
        <f t="shared" si="60"/>
        <v>2</v>
      </c>
      <c r="J806" s="48">
        <f t="shared" si="61"/>
        <v>2</v>
      </c>
      <c r="K806" s="48">
        <f t="shared" si="62"/>
        <v>5</v>
      </c>
      <c r="L806" s="39" t="s">
        <v>9</v>
      </c>
      <c r="N806" s="44">
        <v>45958</v>
      </c>
      <c r="O806" s="39">
        <v>2</v>
      </c>
      <c r="P806" s="39">
        <v>2</v>
      </c>
      <c r="Q806" s="39">
        <v>5</v>
      </c>
      <c r="R806" s="39">
        <v>9</v>
      </c>
      <c r="S806" s="51" t="str">
        <f t="shared" si="63"/>
        <v>Promoter</v>
      </c>
    </row>
    <row r="807" ht="14.25" customHeight="1" spans="1:19">
      <c r="A807" s="43" t="s">
        <v>849</v>
      </c>
      <c r="B807" s="43" t="s">
        <v>13</v>
      </c>
      <c r="C807" s="43" t="s">
        <v>20</v>
      </c>
      <c r="D807" s="44">
        <v>45934</v>
      </c>
      <c r="H807" s="45" t="str">
        <f t="shared" si="64"/>
        <v>Cancelled</v>
      </c>
      <c r="I807" s="48">
        <f t="shared" si="60"/>
        <v>0</v>
      </c>
      <c r="J807" s="48">
        <f t="shared" si="61"/>
        <v>0</v>
      </c>
      <c r="K807" s="48">
        <f t="shared" si="62"/>
        <v>0</v>
      </c>
      <c r="L807" s="39" t="s">
        <v>10</v>
      </c>
      <c r="M807" s="39" t="s">
        <v>42</v>
      </c>
      <c r="S807" s="51" t="str">
        <f t="shared" si="63"/>
        <v>Detractor</v>
      </c>
    </row>
    <row r="808" ht="14.25" customHeight="1" spans="1:19">
      <c r="A808" s="43" t="s">
        <v>850</v>
      </c>
      <c r="B808" s="43" t="s">
        <v>14</v>
      </c>
      <c r="C808" s="43" t="s">
        <v>21</v>
      </c>
      <c r="D808" s="44">
        <v>45938</v>
      </c>
      <c r="E808" s="44">
        <v>45941</v>
      </c>
      <c r="F808" s="44">
        <v>45945</v>
      </c>
      <c r="G808" s="44">
        <v>45949</v>
      </c>
      <c r="H808" s="45" t="str">
        <f t="shared" si="64"/>
        <v>Delivered</v>
      </c>
      <c r="I808" s="48">
        <f t="shared" si="60"/>
        <v>3</v>
      </c>
      <c r="J808" s="48">
        <f t="shared" si="61"/>
        <v>4</v>
      </c>
      <c r="K808" s="48">
        <f t="shared" si="62"/>
        <v>4</v>
      </c>
      <c r="L808" s="39" t="s">
        <v>9</v>
      </c>
      <c r="N808" s="44">
        <v>45962</v>
      </c>
      <c r="O808" s="39">
        <v>3</v>
      </c>
      <c r="P808" s="39">
        <v>4</v>
      </c>
      <c r="Q808" s="39">
        <v>4</v>
      </c>
      <c r="R808" s="39">
        <v>3</v>
      </c>
      <c r="S808" s="51" t="str">
        <f t="shared" si="63"/>
        <v>Detractor</v>
      </c>
    </row>
    <row r="809" ht="14.25" customHeight="1" spans="1:19">
      <c r="A809" s="43" t="s">
        <v>851</v>
      </c>
      <c r="B809" s="43" t="s">
        <v>13</v>
      </c>
      <c r="C809" s="43" t="s">
        <v>22</v>
      </c>
      <c r="D809" s="44">
        <v>45959</v>
      </c>
      <c r="E809" s="44">
        <v>45964</v>
      </c>
      <c r="F809" s="44">
        <v>45966</v>
      </c>
      <c r="G809" s="44">
        <v>45968</v>
      </c>
      <c r="H809" s="45" t="str">
        <f t="shared" si="64"/>
        <v>Delivered</v>
      </c>
      <c r="I809" s="48">
        <f t="shared" si="60"/>
        <v>5</v>
      </c>
      <c r="J809" s="48">
        <f t="shared" si="61"/>
        <v>2</v>
      </c>
      <c r="K809" s="48">
        <f t="shared" si="62"/>
        <v>2</v>
      </c>
      <c r="L809" s="39" t="s">
        <v>9</v>
      </c>
      <c r="N809" s="44">
        <v>45989</v>
      </c>
      <c r="O809" s="39">
        <v>5</v>
      </c>
      <c r="P809" s="39">
        <v>2</v>
      </c>
      <c r="Q809" s="39">
        <v>2</v>
      </c>
      <c r="R809" s="39">
        <v>2</v>
      </c>
      <c r="S809" s="51" t="str">
        <f t="shared" si="63"/>
        <v>Detractor</v>
      </c>
    </row>
    <row r="810" ht="14.25" customHeight="1" spans="1:19">
      <c r="A810" s="43" t="s">
        <v>852</v>
      </c>
      <c r="B810" s="43" t="s">
        <v>14</v>
      </c>
      <c r="C810" s="43" t="s">
        <v>21</v>
      </c>
      <c r="D810" s="44">
        <v>45948</v>
      </c>
      <c r="E810" s="44">
        <v>45953</v>
      </c>
      <c r="F810" s="44">
        <v>45955</v>
      </c>
      <c r="G810" s="44">
        <v>45957</v>
      </c>
      <c r="H810" s="45" t="str">
        <f t="shared" si="64"/>
        <v>Delivered</v>
      </c>
      <c r="I810" s="48">
        <f t="shared" si="60"/>
        <v>5</v>
      </c>
      <c r="J810" s="48">
        <f t="shared" si="61"/>
        <v>2</v>
      </c>
      <c r="K810" s="48">
        <f t="shared" si="62"/>
        <v>2</v>
      </c>
      <c r="L810" s="39" t="s">
        <v>9</v>
      </c>
      <c r="N810" s="44">
        <v>45987</v>
      </c>
      <c r="O810" s="39">
        <v>5</v>
      </c>
      <c r="P810" s="39">
        <v>2</v>
      </c>
      <c r="Q810" s="39">
        <v>2</v>
      </c>
      <c r="R810" s="39">
        <v>5</v>
      </c>
      <c r="S810" s="51" t="str">
        <f t="shared" si="63"/>
        <v>Detractor</v>
      </c>
    </row>
    <row r="811" ht="14.25" customHeight="1" spans="1:19">
      <c r="A811" s="43" t="s">
        <v>853</v>
      </c>
      <c r="B811" s="43" t="s">
        <v>14</v>
      </c>
      <c r="C811" s="43" t="s">
        <v>22</v>
      </c>
      <c r="D811" s="44">
        <v>45935</v>
      </c>
      <c r="E811" s="44">
        <v>45936</v>
      </c>
      <c r="F811" s="44">
        <v>45939</v>
      </c>
      <c r="G811" s="44">
        <v>45942</v>
      </c>
      <c r="H811" s="45" t="str">
        <f t="shared" si="64"/>
        <v>Delivered</v>
      </c>
      <c r="I811" s="48">
        <f t="shared" si="60"/>
        <v>1</v>
      </c>
      <c r="J811" s="48">
        <f t="shared" si="61"/>
        <v>3</v>
      </c>
      <c r="K811" s="48">
        <f t="shared" si="62"/>
        <v>3</v>
      </c>
      <c r="L811" s="39" t="s">
        <v>9</v>
      </c>
      <c r="N811" s="44">
        <v>45953</v>
      </c>
      <c r="O811" s="39">
        <v>1</v>
      </c>
      <c r="P811" s="39">
        <v>3</v>
      </c>
      <c r="Q811" s="39">
        <v>3</v>
      </c>
      <c r="R811" s="39">
        <v>1</v>
      </c>
      <c r="S811" s="51" t="str">
        <f t="shared" si="63"/>
        <v>Detractor</v>
      </c>
    </row>
    <row r="812" ht="14.25" customHeight="1" spans="1:19">
      <c r="A812" s="43" t="s">
        <v>854</v>
      </c>
      <c r="B812" s="43" t="s">
        <v>14</v>
      </c>
      <c r="C812" s="43" t="s">
        <v>20</v>
      </c>
      <c r="D812" s="44">
        <v>45943</v>
      </c>
      <c r="H812" s="45" t="str">
        <f t="shared" si="64"/>
        <v>Cancelled</v>
      </c>
      <c r="I812" s="48">
        <f t="shared" si="60"/>
        <v>0</v>
      </c>
      <c r="J812" s="48">
        <f t="shared" si="61"/>
        <v>0</v>
      </c>
      <c r="K812" s="48">
        <f t="shared" si="62"/>
        <v>0</v>
      </c>
      <c r="L812" s="39" t="s">
        <v>10</v>
      </c>
      <c r="M812" s="39" t="s">
        <v>79</v>
      </c>
      <c r="S812" s="51" t="str">
        <f t="shared" si="63"/>
        <v>Detractor</v>
      </c>
    </row>
    <row r="813" ht="14.25" customHeight="1" spans="1:19">
      <c r="A813" s="43" t="s">
        <v>855</v>
      </c>
      <c r="B813" s="43" t="s">
        <v>12</v>
      </c>
      <c r="C813" s="43" t="s">
        <v>22</v>
      </c>
      <c r="D813" s="44">
        <v>45945</v>
      </c>
      <c r="E813" s="44">
        <v>45950</v>
      </c>
      <c r="F813" s="44">
        <v>45953</v>
      </c>
      <c r="G813" s="44">
        <v>45960</v>
      </c>
      <c r="H813" s="45" t="str">
        <f t="shared" si="64"/>
        <v>Delivered</v>
      </c>
      <c r="I813" s="48">
        <f t="shared" si="60"/>
        <v>5</v>
      </c>
      <c r="J813" s="48">
        <f t="shared" si="61"/>
        <v>3</v>
      </c>
      <c r="K813" s="48">
        <f t="shared" si="62"/>
        <v>7</v>
      </c>
      <c r="L813" s="39" t="s">
        <v>9</v>
      </c>
      <c r="N813" s="44">
        <v>45982</v>
      </c>
      <c r="O813" s="39">
        <v>5</v>
      </c>
      <c r="P813" s="39">
        <v>3</v>
      </c>
      <c r="Q813" s="39">
        <v>7</v>
      </c>
      <c r="R813" s="39">
        <v>7</v>
      </c>
      <c r="S813" s="51" t="str">
        <f t="shared" si="63"/>
        <v>Passive</v>
      </c>
    </row>
    <row r="814" ht="14.25" customHeight="1" spans="1:19">
      <c r="A814" s="43" t="s">
        <v>856</v>
      </c>
      <c r="B814" s="43" t="s">
        <v>12</v>
      </c>
      <c r="C814" s="43" t="s">
        <v>21</v>
      </c>
      <c r="D814" s="44">
        <v>45942</v>
      </c>
      <c r="E814" s="44">
        <v>45944</v>
      </c>
      <c r="F814" s="44">
        <v>45947</v>
      </c>
      <c r="G814" s="44">
        <v>45951</v>
      </c>
      <c r="H814" s="45" t="str">
        <f t="shared" si="64"/>
        <v>Delivered</v>
      </c>
      <c r="I814" s="48">
        <f t="shared" si="60"/>
        <v>2</v>
      </c>
      <c r="J814" s="48">
        <f t="shared" si="61"/>
        <v>3</v>
      </c>
      <c r="K814" s="48">
        <f t="shared" si="62"/>
        <v>4</v>
      </c>
      <c r="L814" s="39" t="s">
        <v>9</v>
      </c>
      <c r="N814" s="44">
        <v>45981</v>
      </c>
      <c r="O814" s="39">
        <v>2</v>
      </c>
      <c r="P814" s="39">
        <v>3</v>
      </c>
      <c r="Q814" s="39">
        <v>4</v>
      </c>
      <c r="R814" s="39">
        <v>3</v>
      </c>
      <c r="S814" s="51" t="str">
        <f t="shared" si="63"/>
        <v>Detractor</v>
      </c>
    </row>
    <row r="815" ht="14.25" customHeight="1" spans="1:19">
      <c r="A815" s="43" t="s">
        <v>857</v>
      </c>
      <c r="B815" s="43" t="s">
        <v>11</v>
      </c>
      <c r="C815" s="43" t="s">
        <v>20</v>
      </c>
      <c r="D815" s="44">
        <v>45952</v>
      </c>
      <c r="H815" s="45" t="str">
        <f t="shared" si="64"/>
        <v>Cancelled</v>
      </c>
      <c r="I815" s="48">
        <f t="shared" si="60"/>
        <v>0</v>
      </c>
      <c r="J815" s="48">
        <f t="shared" si="61"/>
        <v>0</v>
      </c>
      <c r="K815" s="48">
        <f t="shared" si="62"/>
        <v>0</v>
      </c>
      <c r="L815" s="39" t="s">
        <v>10</v>
      </c>
      <c r="M815" s="39" t="s">
        <v>42</v>
      </c>
      <c r="S815" s="51" t="str">
        <f t="shared" si="63"/>
        <v>Detractor</v>
      </c>
    </row>
    <row r="816" ht="14.25" customHeight="1" spans="1:19">
      <c r="A816" s="43" t="s">
        <v>858</v>
      </c>
      <c r="B816" s="43" t="s">
        <v>11</v>
      </c>
      <c r="C816" s="43" t="s">
        <v>22</v>
      </c>
      <c r="D816" s="44">
        <v>45961</v>
      </c>
      <c r="E816" s="44">
        <v>45966</v>
      </c>
      <c r="F816" s="44">
        <v>45970</v>
      </c>
      <c r="G816" s="44">
        <v>45977</v>
      </c>
      <c r="H816" s="45" t="str">
        <f t="shared" si="64"/>
        <v>Delivered</v>
      </c>
      <c r="I816" s="48">
        <f t="shared" si="60"/>
        <v>5</v>
      </c>
      <c r="J816" s="48">
        <f t="shared" si="61"/>
        <v>4</v>
      </c>
      <c r="K816" s="48">
        <f t="shared" si="62"/>
        <v>7</v>
      </c>
      <c r="L816" s="39" t="s">
        <v>9</v>
      </c>
      <c r="N816" s="44">
        <v>45995</v>
      </c>
      <c r="O816" s="39">
        <v>5</v>
      </c>
      <c r="P816" s="39">
        <v>4</v>
      </c>
      <c r="Q816" s="39">
        <v>7</v>
      </c>
      <c r="R816" s="39">
        <v>2</v>
      </c>
      <c r="S816" s="51" t="str">
        <f t="shared" si="63"/>
        <v>Detractor</v>
      </c>
    </row>
    <row r="817" ht="14.25" customHeight="1" spans="1:19">
      <c r="A817" s="43" t="s">
        <v>859</v>
      </c>
      <c r="B817" s="43" t="s">
        <v>13</v>
      </c>
      <c r="C817" s="43" t="s">
        <v>21</v>
      </c>
      <c r="D817" s="44">
        <v>45954</v>
      </c>
      <c r="E817" s="44">
        <v>45959</v>
      </c>
      <c r="F817" s="44">
        <v>45961</v>
      </c>
      <c r="G817" s="44">
        <v>45968</v>
      </c>
      <c r="H817" s="45" t="str">
        <f t="shared" si="64"/>
        <v>Delivered</v>
      </c>
      <c r="I817" s="48">
        <f t="shared" si="60"/>
        <v>5</v>
      </c>
      <c r="J817" s="48">
        <f t="shared" si="61"/>
        <v>2</v>
      </c>
      <c r="K817" s="48">
        <f t="shared" si="62"/>
        <v>7</v>
      </c>
      <c r="L817" s="39" t="s">
        <v>9</v>
      </c>
      <c r="N817" s="44">
        <v>45995</v>
      </c>
      <c r="O817" s="39">
        <v>5</v>
      </c>
      <c r="P817" s="39">
        <v>2</v>
      </c>
      <c r="Q817" s="39">
        <v>7</v>
      </c>
      <c r="R817" s="39">
        <v>5</v>
      </c>
      <c r="S817" s="51" t="str">
        <f t="shared" si="63"/>
        <v>Detractor</v>
      </c>
    </row>
    <row r="818" ht="14.25" customHeight="1" spans="1:19">
      <c r="A818" s="43" t="s">
        <v>860</v>
      </c>
      <c r="B818" s="43" t="s">
        <v>12</v>
      </c>
      <c r="C818" s="43" t="s">
        <v>21</v>
      </c>
      <c r="D818" s="44">
        <v>45953</v>
      </c>
      <c r="E818" s="44">
        <v>45955</v>
      </c>
      <c r="F818" s="44">
        <v>45956</v>
      </c>
      <c r="G818" s="44">
        <v>45962</v>
      </c>
      <c r="H818" s="45" t="str">
        <f t="shared" si="64"/>
        <v>Delivered</v>
      </c>
      <c r="I818" s="48">
        <f t="shared" si="60"/>
        <v>2</v>
      </c>
      <c r="J818" s="48">
        <f t="shared" si="61"/>
        <v>1</v>
      </c>
      <c r="K818" s="48">
        <f t="shared" si="62"/>
        <v>6</v>
      </c>
      <c r="L818" s="39" t="s">
        <v>10</v>
      </c>
      <c r="M818" s="39" t="s">
        <v>79</v>
      </c>
      <c r="O818" s="39">
        <v>2</v>
      </c>
      <c r="P818" s="39">
        <v>1</v>
      </c>
      <c r="Q818" s="39">
        <v>6</v>
      </c>
      <c r="S818" s="51" t="str">
        <f t="shared" si="63"/>
        <v>Detractor</v>
      </c>
    </row>
    <row r="819" ht="14.25" customHeight="1" spans="1:19">
      <c r="A819" s="43" t="s">
        <v>861</v>
      </c>
      <c r="B819" s="43" t="s">
        <v>13</v>
      </c>
      <c r="C819" s="43" t="s">
        <v>21</v>
      </c>
      <c r="D819" s="44">
        <v>45961</v>
      </c>
      <c r="E819" s="44">
        <v>45963</v>
      </c>
      <c r="F819" s="44">
        <v>45965</v>
      </c>
      <c r="G819" s="44">
        <v>45967</v>
      </c>
      <c r="H819" s="45" t="str">
        <f t="shared" si="64"/>
        <v>Delivered</v>
      </c>
      <c r="I819" s="48">
        <f t="shared" si="60"/>
        <v>2</v>
      </c>
      <c r="J819" s="48">
        <f t="shared" si="61"/>
        <v>2</v>
      </c>
      <c r="K819" s="48">
        <f t="shared" si="62"/>
        <v>2</v>
      </c>
      <c r="L819" s="39" t="s">
        <v>9</v>
      </c>
      <c r="N819" s="44">
        <v>45996</v>
      </c>
      <c r="O819" s="39">
        <v>2</v>
      </c>
      <c r="P819" s="39">
        <v>2</v>
      </c>
      <c r="Q819" s="39">
        <v>2</v>
      </c>
      <c r="R819" s="39">
        <v>8</v>
      </c>
      <c r="S819" s="51" t="str">
        <f t="shared" si="63"/>
        <v>Passive</v>
      </c>
    </row>
    <row r="820" ht="14.25" customHeight="1" spans="1:19">
      <c r="A820" s="43" t="s">
        <v>862</v>
      </c>
      <c r="B820" s="43" t="s">
        <v>11</v>
      </c>
      <c r="C820" s="43" t="s">
        <v>21</v>
      </c>
      <c r="D820" s="44">
        <v>45948</v>
      </c>
      <c r="E820" s="44">
        <v>45953</v>
      </c>
      <c r="F820" s="44">
        <v>45957</v>
      </c>
      <c r="G820" s="44">
        <v>45960</v>
      </c>
      <c r="H820" s="45" t="str">
        <f t="shared" si="64"/>
        <v>Delivered</v>
      </c>
      <c r="I820" s="48">
        <f t="shared" si="60"/>
        <v>5</v>
      </c>
      <c r="J820" s="48">
        <f t="shared" si="61"/>
        <v>4</v>
      </c>
      <c r="K820" s="48">
        <f t="shared" si="62"/>
        <v>3</v>
      </c>
      <c r="L820" s="39" t="s">
        <v>9</v>
      </c>
      <c r="N820" s="44">
        <v>45971</v>
      </c>
      <c r="O820" s="39">
        <v>5</v>
      </c>
      <c r="P820" s="39">
        <v>4</v>
      </c>
      <c r="Q820" s="39">
        <v>3</v>
      </c>
      <c r="R820" s="39">
        <v>8</v>
      </c>
      <c r="S820" s="51" t="str">
        <f t="shared" si="63"/>
        <v>Passive</v>
      </c>
    </row>
    <row r="821" ht="14.25" customHeight="1" spans="1:19">
      <c r="A821" s="43" t="s">
        <v>863</v>
      </c>
      <c r="B821" s="43" t="s">
        <v>13</v>
      </c>
      <c r="C821" s="43" t="s">
        <v>20</v>
      </c>
      <c r="D821" s="44">
        <v>45944</v>
      </c>
      <c r="H821" s="45" t="str">
        <f t="shared" si="64"/>
        <v>Cancelled</v>
      </c>
      <c r="I821" s="48">
        <f t="shared" si="60"/>
        <v>0</v>
      </c>
      <c r="J821" s="48">
        <f t="shared" si="61"/>
        <v>0</v>
      </c>
      <c r="K821" s="48">
        <f t="shared" si="62"/>
        <v>0</v>
      </c>
      <c r="L821" s="39" t="s">
        <v>10</v>
      </c>
      <c r="M821" s="39" t="s">
        <v>79</v>
      </c>
      <c r="S821" s="51" t="str">
        <f t="shared" si="63"/>
        <v>Detractor</v>
      </c>
    </row>
    <row r="822" ht="14.25" customHeight="1" spans="1:19">
      <c r="A822" s="43" t="s">
        <v>864</v>
      </c>
      <c r="B822" s="43" t="s">
        <v>11</v>
      </c>
      <c r="C822" s="43" t="s">
        <v>22</v>
      </c>
      <c r="D822" s="44">
        <v>45949</v>
      </c>
      <c r="E822" s="44">
        <v>45954</v>
      </c>
      <c r="F822" s="44">
        <v>45957</v>
      </c>
      <c r="G822" s="44">
        <v>45961</v>
      </c>
      <c r="H822" s="45" t="str">
        <f t="shared" si="64"/>
        <v>Delivered</v>
      </c>
      <c r="I822" s="48">
        <f t="shared" si="60"/>
        <v>5</v>
      </c>
      <c r="J822" s="48">
        <f t="shared" si="61"/>
        <v>3</v>
      </c>
      <c r="K822" s="48">
        <f t="shared" si="62"/>
        <v>4</v>
      </c>
      <c r="L822" s="39" t="s">
        <v>9</v>
      </c>
      <c r="N822" s="44">
        <v>45990</v>
      </c>
      <c r="O822" s="39">
        <v>5</v>
      </c>
      <c r="P822" s="39">
        <v>3</v>
      </c>
      <c r="Q822" s="39">
        <v>4</v>
      </c>
      <c r="R822" s="39">
        <v>2</v>
      </c>
      <c r="S822" s="51" t="str">
        <f t="shared" si="63"/>
        <v>Detractor</v>
      </c>
    </row>
    <row r="823" ht="14.25" customHeight="1" spans="1:19">
      <c r="A823" s="43" t="s">
        <v>865</v>
      </c>
      <c r="B823" s="43" t="s">
        <v>12</v>
      </c>
      <c r="C823" s="43" t="s">
        <v>20</v>
      </c>
      <c r="D823" s="44">
        <v>45954</v>
      </c>
      <c r="H823" s="45" t="str">
        <f t="shared" si="64"/>
        <v>Cancelled</v>
      </c>
      <c r="I823" s="48">
        <f t="shared" si="60"/>
        <v>0</v>
      </c>
      <c r="J823" s="48">
        <f t="shared" si="61"/>
        <v>0</v>
      </c>
      <c r="K823" s="48">
        <f t="shared" si="62"/>
        <v>0</v>
      </c>
      <c r="L823" s="39" t="s">
        <v>10</v>
      </c>
      <c r="M823" s="39" t="s">
        <v>49</v>
      </c>
      <c r="S823" s="51" t="str">
        <f t="shared" si="63"/>
        <v>Detractor</v>
      </c>
    </row>
    <row r="824" ht="14.25" customHeight="1" spans="1:19">
      <c r="A824" s="43" t="s">
        <v>866</v>
      </c>
      <c r="B824" s="43" t="s">
        <v>14</v>
      </c>
      <c r="C824" s="43" t="s">
        <v>22</v>
      </c>
      <c r="D824" s="44">
        <v>45954</v>
      </c>
      <c r="E824" s="44">
        <v>45957</v>
      </c>
      <c r="F824" s="44">
        <v>45961</v>
      </c>
      <c r="G824" s="44">
        <v>45964</v>
      </c>
      <c r="H824" s="45" t="str">
        <f t="shared" si="64"/>
        <v>Delivered</v>
      </c>
      <c r="I824" s="48">
        <f t="shared" si="60"/>
        <v>3</v>
      </c>
      <c r="J824" s="48">
        <f t="shared" si="61"/>
        <v>4</v>
      </c>
      <c r="K824" s="48">
        <f t="shared" si="62"/>
        <v>3</v>
      </c>
      <c r="L824" s="39" t="s">
        <v>9</v>
      </c>
      <c r="N824" s="44">
        <v>45975</v>
      </c>
      <c r="O824" s="39">
        <v>3</v>
      </c>
      <c r="P824" s="39">
        <v>4</v>
      </c>
      <c r="Q824" s="39">
        <v>3</v>
      </c>
      <c r="R824" s="39">
        <v>3</v>
      </c>
      <c r="S824" s="51" t="str">
        <f t="shared" si="63"/>
        <v>Detractor</v>
      </c>
    </row>
    <row r="825" ht="14.25" customHeight="1" spans="1:19">
      <c r="A825" s="43" t="s">
        <v>867</v>
      </c>
      <c r="B825" s="43" t="s">
        <v>12</v>
      </c>
      <c r="C825" s="43" t="s">
        <v>21</v>
      </c>
      <c r="D825" s="44">
        <v>45935</v>
      </c>
      <c r="E825" s="44">
        <v>45940</v>
      </c>
      <c r="F825" s="44">
        <v>45943</v>
      </c>
      <c r="G825" s="44">
        <v>45945</v>
      </c>
      <c r="H825" s="45" t="str">
        <f t="shared" si="64"/>
        <v>Delivered</v>
      </c>
      <c r="I825" s="48">
        <f t="shared" si="60"/>
        <v>5</v>
      </c>
      <c r="J825" s="48">
        <f t="shared" si="61"/>
        <v>3</v>
      </c>
      <c r="K825" s="48">
        <f t="shared" si="62"/>
        <v>2</v>
      </c>
      <c r="L825" s="39" t="s">
        <v>9</v>
      </c>
      <c r="N825" s="44">
        <v>45958</v>
      </c>
      <c r="O825" s="39">
        <v>5</v>
      </c>
      <c r="P825" s="39">
        <v>3</v>
      </c>
      <c r="Q825" s="39">
        <v>2</v>
      </c>
      <c r="R825" s="39">
        <v>4</v>
      </c>
      <c r="S825" s="51" t="str">
        <f t="shared" si="63"/>
        <v>Detractor</v>
      </c>
    </row>
    <row r="826" ht="14.25" customHeight="1" spans="1:19">
      <c r="A826" s="43" t="s">
        <v>868</v>
      </c>
      <c r="B826" s="43" t="s">
        <v>13</v>
      </c>
      <c r="C826" s="43" t="s">
        <v>22</v>
      </c>
      <c r="D826" s="44">
        <v>45959</v>
      </c>
      <c r="E826" s="44">
        <v>45960</v>
      </c>
      <c r="F826" s="44">
        <v>45964</v>
      </c>
      <c r="G826" s="44">
        <v>45971</v>
      </c>
      <c r="H826" s="45" t="str">
        <f t="shared" si="64"/>
        <v>Delivered</v>
      </c>
      <c r="I826" s="48">
        <f t="shared" si="60"/>
        <v>1</v>
      </c>
      <c r="J826" s="48">
        <f t="shared" si="61"/>
        <v>4</v>
      </c>
      <c r="K826" s="48">
        <f t="shared" si="62"/>
        <v>7</v>
      </c>
      <c r="L826" s="39" t="s">
        <v>10</v>
      </c>
      <c r="M826" s="39" t="s">
        <v>79</v>
      </c>
      <c r="O826" s="39">
        <v>1</v>
      </c>
      <c r="P826" s="39">
        <v>4</v>
      </c>
      <c r="Q826" s="39">
        <v>7</v>
      </c>
      <c r="S826" s="51" t="str">
        <f t="shared" si="63"/>
        <v>Detractor</v>
      </c>
    </row>
    <row r="827" ht="14.25" customHeight="1" spans="1:19">
      <c r="A827" s="43" t="s">
        <v>869</v>
      </c>
      <c r="B827" s="43" t="s">
        <v>13</v>
      </c>
      <c r="C827" s="43" t="s">
        <v>21</v>
      </c>
      <c r="D827" s="44">
        <v>45944</v>
      </c>
      <c r="E827" s="44">
        <v>45945</v>
      </c>
      <c r="F827" s="44">
        <v>45946</v>
      </c>
      <c r="G827" s="44">
        <v>45949</v>
      </c>
      <c r="H827" s="45" t="str">
        <f t="shared" si="64"/>
        <v>Delivered</v>
      </c>
      <c r="I827" s="48">
        <f t="shared" si="60"/>
        <v>1</v>
      </c>
      <c r="J827" s="48">
        <f t="shared" si="61"/>
        <v>1</v>
      </c>
      <c r="K827" s="48">
        <f t="shared" si="62"/>
        <v>3</v>
      </c>
      <c r="L827" s="39" t="s">
        <v>9</v>
      </c>
      <c r="N827" s="44">
        <v>45979</v>
      </c>
      <c r="O827" s="39">
        <v>1</v>
      </c>
      <c r="P827" s="39">
        <v>1</v>
      </c>
      <c r="Q827" s="39">
        <v>3</v>
      </c>
      <c r="R827" s="39">
        <v>3</v>
      </c>
      <c r="S827" s="51" t="str">
        <f t="shared" si="63"/>
        <v>Detractor</v>
      </c>
    </row>
    <row r="828" ht="14.25" customHeight="1" spans="1:19">
      <c r="A828" s="43" t="s">
        <v>870</v>
      </c>
      <c r="B828" s="43" t="s">
        <v>12</v>
      </c>
      <c r="C828" s="43" t="s">
        <v>22</v>
      </c>
      <c r="D828" s="44">
        <v>45951</v>
      </c>
      <c r="E828" s="44">
        <v>45952</v>
      </c>
      <c r="F828" s="44">
        <v>45955</v>
      </c>
      <c r="G828" s="44">
        <v>45959</v>
      </c>
      <c r="H828" s="45" t="str">
        <f t="shared" si="64"/>
        <v>Delivered</v>
      </c>
      <c r="I828" s="48">
        <f t="shared" si="60"/>
        <v>1</v>
      </c>
      <c r="J828" s="48">
        <f t="shared" si="61"/>
        <v>3</v>
      </c>
      <c r="K828" s="48">
        <f t="shared" si="62"/>
        <v>4</v>
      </c>
      <c r="L828" s="39" t="s">
        <v>9</v>
      </c>
      <c r="N828" s="44">
        <v>45969</v>
      </c>
      <c r="O828" s="39">
        <v>1</v>
      </c>
      <c r="P828" s="39">
        <v>3</v>
      </c>
      <c r="Q828" s="39">
        <v>4</v>
      </c>
      <c r="R828" s="39">
        <v>6</v>
      </c>
      <c r="S828" s="51" t="str">
        <f t="shared" si="63"/>
        <v>Detractor</v>
      </c>
    </row>
    <row r="829" ht="14.25" customHeight="1" spans="1:19">
      <c r="A829" s="43" t="s">
        <v>871</v>
      </c>
      <c r="B829" s="43" t="s">
        <v>12</v>
      </c>
      <c r="C829" s="43" t="s">
        <v>20</v>
      </c>
      <c r="D829" s="44">
        <v>45934</v>
      </c>
      <c r="H829" s="45" t="str">
        <f t="shared" si="64"/>
        <v>Cancelled</v>
      </c>
      <c r="I829" s="48">
        <f t="shared" si="60"/>
        <v>0</v>
      </c>
      <c r="J829" s="48">
        <f t="shared" si="61"/>
        <v>0</v>
      </c>
      <c r="K829" s="48">
        <f t="shared" si="62"/>
        <v>0</v>
      </c>
      <c r="L829" s="39" t="s">
        <v>10</v>
      </c>
      <c r="M829" s="39" t="s">
        <v>79</v>
      </c>
      <c r="S829" s="51" t="str">
        <f t="shared" si="63"/>
        <v>Detractor</v>
      </c>
    </row>
    <row r="830" ht="14.25" customHeight="1" spans="1:19">
      <c r="A830" s="43" t="s">
        <v>872</v>
      </c>
      <c r="B830" s="43" t="s">
        <v>11</v>
      </c>
      <c r="C830" s="43" t="s">
        <v>22</v>
      </c>
      <c r="D830" s="44">
        <v>45957</v>
      </c>
      <c r="E830" s="44">
        <v>45958</v>
      </c>
      <c r="F830" s="44">
        <v>45961</v>
      </c>
      <c r="G830" s="44">
        <v>45966</v>
      </c>
      <c r="H830" s="45" t="str">
        <f t="shared" si="64"/>
        <v>Delivered</v>
      </c>
      <c r="I830" s="48">
        <f t="shared" si="60"/>
        <v>1</v>
      </c>
      <c r="J830" s="48">
        <f t="shared" si="61"/>
        <v>3</v>
      </c>
      <c r="K830" s="48">
        <f t="shared" si="62"/>
        <v>5</v>
      </c>
      <c r="L830" s="39" t="s">
        <v>9</v>
      </c>
      <c r="N830" s="44">
        <v>45977</v>
      </c>
      <c r="O830" s="39">
        <v>1</v>
      </c>
      <c r="P830" s="39">
        <v>3</v>
      </c>
      <c r="Q830" s="39">
        <v>5</v>
      </c>
      <c r="R830" s="39">
        <v>2</v>
      </c>
      <c r="S830" s="51" t="str">
        <f t="shared" si="63"/>
        <v>Detractor</v>
      </c>
    </row>
    <row r="831" ht="14.25" customHeight="1" spans="1:19">
      <c r="A831" s="43" t="s">
        <v>873</v>
      </c>
      <c r="B831" s="43" t="s">
        <v>13</v>
      </c>
      <c r="C831" s="43" t="s">
        <v>22</v>
      </c>
      <c r="D831" s="44">
        <v>45946</v>
      </c>
      <c r="E831" s="44">
        <v>45951</v>
      </c>
      <c r="F831" s="44">
        <v>45953</v>
      </c>
      <c r="G831" s="44">
        <v>45959</v>
      </c>
      <c r="H831" s="45" t="str">
        <f t="shared" si="64"/>
        <v>Delivered</v>
      </c>
      <c r="I831" s="48">
        <f t="shared" si="60"/>
        <v>5</v>
      </c>
      <c r="J831" s="48">
        <f t="shared" si="61"/>
        <v>2</v>
      </c>
      <c r="K831" s="48">
        <f t="shared" si="62"/>
        <v>6</v>
      </c>
      <c r="L831" s="39" t="s">
        <v>10</v>
      </c>
      <c r="M831" s="39" t="s">
        <v>44</v>
      </c>
      <c r="O831" s="39">
        <v>5</v>
      </c>
      <c r="P831" s="39">
        <v>2</v>
      </c>
      <c r="Q831" s="39">
        <v>6</v>
      </c>
      <c r="S831" s="51" t="str">
        <f t="shared" si="63"/>
        <v>Detractor</v>
      </c>
    </row>
    <row r="832" ht="14.25" customHeight="1" spans="1:19">
      <c r="A832" s="43" t="s">
        <v>874</v>
      </c>
      <c r="B832" s="43" t="s">
        <v>13</v>
      </c>
      <c r="C832" s="43" t="s">
        <v>21</v>
      </c>
      <c r="D832" s="44">
        <v>45950</v>
      </c>
      <c r="E832" s="44">
        <v>45953</v>
      </c>
      <c r="F832" s="44">
        <v>45957</v>
      </c>
      <c r="G832" s="44">
        <v>45959</v>
      </c>
      <c r="H832" s="45" t="str">
        <f t="shared" si="64"/>
        <v>Delivered</v>
      </c>
      <c r="I832" s="48">
        <f t="shared" si="60"/>
        <v>3</v>
      </c>
      <c r="J832" s="48">
        <f t="shared" si="61"/>
        <v>4</v>
      </c>
      <c r="K832" s="48">
        <f t="shared" si="62"/>
        <v>2</v>
      </c>
      <c r="L832" s="39" t="s">
        <v>10</v>
      </c>
      <c r="M832" s="39" t="s">
        <v>117</v>
      </c>
      <c r="O832" s="39">
        <v>3</v>
      </c>
      <c r="P832" s="39">
        <v>4</v>
      </c>
      <c r="Q832" s="39">
        <v>2</v>
      </c>
      <c r="S832" s="51" t="str">
        <f t="shared" si="63"/>
        <v>Detractor</v>
      </c>
    </row>
    <row r="833" ht="14.25" customHeight="1" spans="1:19">
      <c r="A833" s="43" t="s">
        <v>875</v>
      </c>
      <c r="B833" s="43" t="s">
        <v>12</v>
      </c>
      <c r="C833" s="43" t="s">
        <v>21</v>
      </c>
      <c r="D833" s="44">
        <v>45944</v>
      </c>
      <c r="E833" s="44">
        <v>45946</v>
      </c>
      <c r="F833" s="44">
        <v>45951</v>
      </c>
      <c r="G833" s="44">
        <v>45958</v>
      </c>
      <c r="H833" s="45" t="str">
        <f t="shared" si="64"/>
        <v>Delivered</v>
      </c>
      <c r="I833" s="48">
        <f t="shared" si="60"/>
        <v>2</v>
      </c>
      <c r="J833" s="48">
        <f t="shared" si="61"/>
        <v>5</v>
      </c>
      <c r="K833" s="48">
        <f t="shared" si="62"/>
        <v>7</v>
      </c>
      <c r="L833" s="39" t="s">
        <v>9</v>
      </c>
      <c r="N833" s="44">
        <v>45971</v>
      </c>
      <c r="O833" s="39">
        <v>2</v>
      </c>
      <c r="P833" s="39">
        <v>5</v>
      </c>
      <c r="Q833" s="39">
        <v>7</v>
      </c>
      <c r="R833" s="39">
        <v>9</v>
      </c>
      <c r="S833" s="51" t="str">
        <f t="shared" si="63"/>
        <v>Promoter</v>
      </c>
    </row>
    <row r="834" ht="14.25" customHeight="1" spans="1:19">
      <c r="A834" s="43" t="s">
        <v>876</v>
      </c>
      <c r="B834" s="43" t="s">
        <v>14</v>
      </c>
      <c r="C834" s="43" t="s">
        <v>21</v>
      </c>
      <c r="D834" s="44">
        <v>45961</v>
      </c>
      <c r="E834" s="44">
        <v>45966</v>
      </c>
      <c r="F834" s="44">
        <v>45971</v>
      </c>
      <c r="G834" s="44">
        <v>45975</v>
      </c>
      <c r="H834" s="45" t="str">
        <f t="shared" si="64"/>
        <v>Delivered</v>
      </c>
      <c r="I834" s="48">
        <f t="shared" si="60"/>
        <v>5</v>
      </c>
      <c r="J834" s="48">
        <f t="shared" si="61"/>
        <v>5</v>
      </c>
      <c r="K834" s="48">
        <f t="shared" si="62"/>
        <v>4</v>
      </c>
      <c r="L834" s="39" t="s">
        <v>9</v>
      </c>
      <c r="N834" s="44">
        <v>45998</v>
      </c>
      <c r="O834" s="39">
        <v>5</v>
      </c>
      <c r="P834" s="39">
        <v>5</v>
      </c>
      <c r="Q834" s="39">
        <v>4</v>
      </c>
      <c r="R834" s="39">
        <v>9</v>
      </c>
      <c r="S834" s="51" t="str">
        <f t="shared" si="63"/>
        <v>Promoter</v>
      </c>
    </row>
    <row r="835" ht="14.25" customHeight="1" spans="1:19">
      <c r="A835" s="43" t="s">
        <v>877</v>
      </c>
      <c r="B835" s="43" t="s">
        <v>13</v>
      </c>
      <c r="C835" s="43" t="s">
        <v>22</v>
      </c>
      <c r="D835" s="44">
        <v>45961</v>
      </c>
      <c r="E835" s="44">
        <v>45965</v>
      </c>
      <c r="F835" s="44">
        <v>45967</v>
      </c>
      <c r="G835" s="44">
        <v>45971</v>
      </c>
      <c r="H835" s="45" t="str">
        <f t="shared" si="64"/>
        <v>Delivered</v>
      </c>
      <c r="I835" s="48">
        <f t="shared" ref="I835:I898" si="65">IF(E835&gt;D835,E835-D835,0)</f>
        <v>4</v>
      </c>
      <c r="J835" s="48">
        <f t="shared" ref="J835:J898" si="66">IF(F835&gt;E835,F835-E835,0)</f>
        <v>2</v>
      </c>
      <c r="K835" s="48">
        <f t="shared" ref="K835:K898" si="67">IF(G835&gt;F835,G835-F835,0)</f>
        <v>4</v>
      </c>
      <c r="L835" s="39" t="s">
        <v>9</v>
      </c>
      <c r="N835" s="44">
        <v>45995</v>
      </c>
      <c r="O835" s="39">
        <v>4</v>
      </c>
      <c r="P835" s="39">
        <v>2</v>
      </c>
      <c r="Q835" s="39">
        <v>4</v>
      </c>
      <c r="R835" s="39">
        <v>6</v>
      </c>
      <c r="S835" s="51" t="str">
        <f t="shared" ref="S835:S898" si="68">IF(R835&gt;=9,"Promoter",IF(R835&gt;=7,"Passive","Detractor"))</f>
        <v>Detractor</v>
      </c>
    </row>
    <row r="836" ht="14.25" customHeight="1" spans="1:19">
      <c r="A836" s="43" t="s">
        <v>878</v>
      </c>
      <c r="B836" s="43" t="s">
        <v>14</v>
      </c>
      <c r="C836" s="43" t="s">
        <v>21</v>
      </c>
      <c r="D836" s="44">
        <v>45939</v>
      </c>
      <c r="E836" s="44">
        <v>45944</v>
      </c>
      <c r="F836" s="44">
        <v>45948</v>
      </c>
      <c r="G836" s="44">
        <v>45951</v>
      </c>
      <c r="H836" s="45" t="str">
        <f t="shared" si="64"/>
        <v>Delivered</v>
      </c>
      <c r="I836" s="48">
        <f t="shared" si="65"/>
        <v>5</v>
      </c>
      <c r="J836" s="48">
        <f t="shared" si="66"/>
        <v>4</v>
      </c>
      <c r="K836" s="48">
        <f t="shared" si="67"/>
        <v>3</v>
      </c>
      <c r="L836" s="39" t="s">
        <v>9</v>
      </c>
      <c r="N836" s="44">
        <v>45973</v>
      </c>
      <c r="O836" s="39">
        <v>5</v>
      </c>
      <c r="P836" s="39">
        <v>4</v>
      </c>
      <c r="Q836" s="39">
        <v>3</v>
      </c>
      <c r="R836" s="39">
        <v>8</v>
      </c>
      <c r="S836" s="51" t="str">
        <f t="shared" si="68"/>
        <v>Passive</v>
      </c>
    </row>
    <row r="837" ht="14.25" customHeight="1" spans="1:19">
      <c r="A837" s="43" t="s">
        <v>879</v>
      </c>
      <c r="B837" s="43" t="s">
        <v>12</v>
      </c>
      <c r="C837" s="43" t="s">
        <v>22</v>
      </c>
      <c r="D837" s="44">
        <v>45932</v>
      </c>
      <c r="E837" s="44">
        <v>45933</v>
      </c>
      <c r="F837" s="44">
        <v>45934</v>
      </c>
      <c r="G837" s="44">
        <v>45936</v>
      </c>
      <c r="H837" s="45" t="str">
        <f t="shared" ref="H837:H900" si="69">IF(G837&lt;&gt;"","Delivered",IF(F837&lt;&gt;"","Booked",IF(E837&lt;&gt;"","Pre-Booked",IF(D837&lt;&gt;"","Cancelled",""))))</f>
        <v>Delivered</v>
      </c>
      <c r="I837" s="48">
        <f t="shared" si="65"/>
        <v>1</v>
      </c>
      <c r="J837" s="48">
        <f t="shared" si="66"/>
        <v>1</v>
      </c>
      <c r="K837" s="48">
        <f t="shared" si="67"/>
        <v>2</v>
      </c>
      <c r="L837" s="39" t="s">
        <v>10</v>
      </c>
      <c r="M837" s="39" t="s">
        <v>49</v>
      </c>
      <c r="O837" s="39">
        <v>1</v>
      </c>
      <c r="P837" s="39">
        <v>1</v>
      </c>
      <c r="Q837" s="39">
        <v>2</v>
      </c>
      <c r="S837" s="51" t="str">
        <f t="shared" si="68"/>
        <v>Detractor</v>
      </c>
    </row>
    <row r="838" ht="14.25" customHeight="1" spans="1:19">
      <c r="A838" s="43" t="s">
        <v>880</v>
      </c>
      <c r="B838" s="43" t="s">
        <v>12</v>
      </c>
      <c r="C838" s="43" t="s">
        <v>22</v>
      </c>
      <c r="D838" s="44">
        <v>45953</v>
      </c>
      <c r="E838" s="44">
        <v>45957</v>
      </c>
      <c r="F838" s="44">
        <v>45959</v>
      </c>
      <c r="G838" s="44">
        <v>45964</v>
      </c>
      <c r="H838" s="45" t="str">
        <f t="shared" si="69"/>
        <v>Delivered</v>
      </c>
      <c r="I838" s="48">
        <f t="shared" si="65"/>
        <v>4</v>
      </c>
      <c r="J838" s="48">
        <f t="shared" si="66"/>
        <v>2</v>
      </c>
      <c r="K838" s="48">
        <f t="shared" si="67"/>
        <v>5</v>
      </c>
      <c r="L838" s="39" t="s">
        <v>9</v>
      </c>
      <c r="N838" s="44">
        <v>45977</v>
      </c>
      <c r="O838" s="39">
        <v>4</v>
      </c>
      <c r="P838" s="39">
        <v>2</v>
      </c>
      <c r="Q838" s="39">
        <v>5</v>
      </c>
      <c r="R838" s="39">
        <v>2</v>
      </c>
      <c r="S838" s="51" t="str">
        <f t="shared" si="68"/>
        <v>Detractor</v>
      </c>
    </row>
    <row r="839" ht="14.25" customHeight="1" spans="1:19">
      <c r="A839" s="43" t="s">
        <v>881</v>
      </c>
      <c r="B839" s="43" t="s">
        <v>11</v>
      </c>
      <c r="C839" s="43" t="s">
        <v>22</v>
      </c>
      <c r="D839" s="44">
        <v>45942</v>
      </c>
      <c r="E839" s="44">
        <v>45947</v>
      </c>
      <c r="F839" s="44">
        <v>45950</v>
      </c>
      <c r="G839" s="44">
        <v>45955</v>
      </c>
      <c r="H839" s="45" t="str">
        <f t="shared" si="69"/>
        <v>Delivered</v>
      </c>
      <c r="I839" s="48">
        <f t="shared" si="65"/>
        <v>5</v>
      </c>
      <c r="J839" s="48">
        <f t="shared" si="66"/>
        <v>3</v>
      </c>
      <c r="K839" s="48">
        <f t="shared" si="67"/>
        <v>5</v>
      </c>
      <c r="L839" s="39" t="s">
        <v>9</v>
      </c>
      <c r="N839" s="44">
        <v>45982</v>
      </c>
      <c r="O839" s="39">
        <v>5</v>
      </c>
      <c r="P839" s="39">
        <v>3</v>
      </c>
      <c r="Q839" s="39">
        <v>5</v>
      </c>
      <c r="R839" s="39">
        <v>6</v>
      </c>
      <c r="S839" s="51" t="str">
        <f t="shared" si="68"/>
        <v>Detractor</v>
      </c>
    </row>
    <row r="840" ht="14.25" customHeight="1" spans="1:19">
      <c r="A840" s="43" t="s">
        <v>882</v>
      </c>
      <c r="B840" s="43" t="s">
        <v>13</v>
      </c>
      <c r="C840" s="43" t="s">
        <v>21</v>
      </c>
      <c r="D840" s="44">
        <v>45937</v>
      </c>
      <c r="E840" s="44">
        <v>45940</v>
      </c>
      <c r="F840" s="44">
        <v>45941</v>
      </c>
      <c r="G840" s="44">
        <v>45947</v>
      </c>
      <c r="H840" s="45" t="str">
        <f t="shared" si="69"/>
        <v>Delivered</v>
      </c>
      <c r="I840" s="48">
        <f t="shared" si="65"/>
        <v>3</v>
      </c>
      <c r="J840" s="48">
        <f t="shared" si="66"/>
        <v>1</v>
      </c>
      <c r="K840" s="48">
        <f t="shared" si="67"/>
        <v>6</v>
      </c>
      <c r="L840" s="39" t="s">
        <v>9</v>
      </c>
      <c r="N840" s="44">
        <v>45965</v>
      </c>
      <c r="O840" s="39">
        <v>3</v>
      </c>
      <c r="P840" s="39">
        <v>1</v>
      </c>
      <c r="Q840" s="39">
        <v>6</v>
      </c>
      <c r="R840" s="39">
        <v>6</v>
      </c>
      <c r="S840" s="51" t="str">
        <f t="shared" si="68"/>
        <v>Detractor</v>
      </c>
    </row>
    <row r="841" ht="14.25" customHeight="1" spans="1:19">
      <c r="A841" s="43" t="s">
        <v>883</v>
      </c>
      <c r="B841" s="43" t="s">
        <v>14</v>
      </c>
      <c r="C841" s="43" t="s">
        <v>21</v>
      </c>
      <c r="D841" s="44">
        <v>45945</v>
      </c>
      <c r="E841" s="44">
        <v>45948</v>
      </c>
      <c r="F841" s="44">
        <v>45952</v>
      </c>
      <c r="G841" s="44">
        <v>45959</v>
      </c>
      <c r="H841" s="45" t="str">
        <f t="shared" si="69"/>
        <v>Delivered</v>
      </c>
      <c r="I841" s="48">
        <f t="shared" si="65"/>
        <v>3</v>
      </c>
      <c r="J841" s="48">
        <f t="shared" si="66"/>
        <v>4</v>
      </c>
      <c r="K841" s="48">
        <f t="shared" si="67"/>
        <v>7</v>
      </c>
      <c r="L841" s="39" t="s">
        <v>9</v>
      </c>
      <c r="N841" s="44">
        <v>45984</v>
      </c>
      <c r="O841" s="39">
        <v>3</v>
      </c>
      <c r="P841" s="39">
        <v>4</v>
      </c>
      <c r="Q841" s="39">
        <v>7</v>
      </c>
      <c r="R841" s="39">
        <v>9</v>
      </c>
      <c r="S841" s="51" t="str">
        <f t="shared" si="68"/>
        <v>Promoter</v>
      </c>
    </row>
    <row r="842" ht="14.25" customHeight="1" spans="1:19">
      <c r="A842" s="43" t="s">
        <v>884</v>
      </c>
      <c r="B842" s="43" t="s">
        <v>11</v>
      </c>
      <c r="C842" s="43" t="s">
        <v>20</v>
      </c>
      <c r="D842" s="44">
        <v>45945</v>
      </c>
      <c r="H842" s="45" t="str">
        <f t="shared" si="69"/>
        <v>Cancelled</v>
      </c>
      <c r="I842" s="48">
        <f t="shared" si="65"/>
        <v>0</v>
      </c>
      <c r="J842" s="48">
        <f t="shared" si="66"/>
        <v>0</v>
      </c>
      <c r="K842" s="48">
        <f t="shared" si="67"/>
        <v>0</v>
      </c>
      <c r="L842" s="39" t="s">
        <v>10</v>
      </c>
      <c r="M842" s="39" t="s">
        <v>49</v>
      </c>
      <c r="S842" s="51" t="str">
        <f t="shared" si="68"/>
        <v>Detractor</v>
      </c>
    </row>
    <row r="843" ht="14.25" customHeight="1" spans="1:19">
      <c r="A843" s="43" t="s">
        <v>885</v>
      </c>
      <c r="B843" s="43" t="s">
        <v>13</v>
      </c>
      <c r="C843" s="43" t="s">
        <v>22</v>
      </c>
      <c r="D843" s="44">
        <v>45961</v>
      </c>
      <c r="E843" s="44">
        <v>45965</v>
      </c>
      <c r="F843" s="44">
        <v>45968</v>
      </c>
      <c r="G843" s="44">
        <v>45974</v>
      </c>
      <c r="H843" s="45" t="str">
        <f t="shared" si="69"/>
        <v>Delivered</v>
      </c>
      <c r="I843" s="48">
        <f t="shared" si="65"/>
        <v>4</v>
      </c>
      <c r="J843" s="48">
        <f t="shared" si="66"/>
        <v>3</v>
      </c>
      <c r="K843" s="48">
        <f t="shared" si="67"/>
        <v>6</v>
      </c>
      <c r="L843" s="39" t="s">
        <v>9</v>
      </c>
      <c r="N843" s="44">
        <v>45988</v>
      </c>
      <c r="O843" s="39">
        <v>4</v>
      </c>
      <c r="P843" s="39">
        <v>3</v>
      </c>
      <c r="Q843" s="39">
        <v>6</v>
      </c>
      <c r="R843" s="39">
        <v>9</v>
      </c>
      <c r="S843" s="51" t="str">
        <f t="shared" si="68"/>
        <v>Promoter</v>
      </c>
    </row>
    <row r="844" ht="14.25" customHeight="1" spans="1:19">
      <c r="A844" s="43" t="s">
        <v>886</v>
      </c>
      <c r="B844" s="43" t="s">
        <v>11</v>
      </c>
      <c r="C844" s="43" t="s">
        <v>22</v>
      </c>
      <c r="D844" s="44">
        <v>45938</v>
      </c>
      <c r="E844" s="44">
        <v>45940</v>
      </c>
      <c r="F844" s="44">
        <v>45945</v>
      </c>
      <c r="G844" s="44">
        <v>45948</v>
      </c>
      <c r="H844" s="45" t="str">
        <f t="shared" si="69"/>
        <v>Delivered</v>
      </c>
      <c r="I844" s="48">
        <f t="shared" si="65"/>
        <v>2</v>
      </c>
      <c r="J844" s="48">
        <f t="shared" si="66"/>
        <v>5</v>
      </c>
      <c r="K844" s="48">
        <f t="shared" si="67"/>
        <v>3</v>
      </c>
      <c r="L844" s="39" t="s">
        <v>9</v>
      </c>
      <c r="N844" s="44">
        <v>45964</v>
      </c>
      <c r="O844" s="39">
        <v>2</v>
      </c>
      <c r="P844" s="39">
        <v>5</v>
      </c>
      <c r="Q844" s="39">
        <v>3</v>
      </c>
      <c r="R844" s="39">
        <v>0</v>
      </c>
      <c r="S844" s="51" t="str">
        <f t="shared" si="68"/>
        <v>Detractor</v>
      </c>
    </row>
    <row r="845" ht="14.25" customHeight="1" spans="1:19">
      <c r="A845" s="43" t="s">
        <v>887</v>
      </c>
      <c r="B845" s="43" t="s">
        <v>12</v>
      </c>
      <c r="C845" s="43" t="s">
        <v>21</v>
      </c>
      <c r="D845" s="44">
        <v>45958</v>
      </c>
      <c r="E845" s="44">
        <v>45962</v>
      </c>
      <c r="F845" s="44">
        <v>45966</v>
      </c>
      <c r="G845" s="44">
        <v>45968</v>
      </c>
      <c r="H845" s="45" t="str">
        <f t="shared" si="69"/>
        <v>Delivered</v>
      </c>
      <c r="I845" s="48">
        <f t="shared" si="65"/>
        <v>4</v>
      </c>
      <c r="J845" s="48">
        <f t="shared" si="66"/>
        <v>4</v>
      </c>
      <c r="K845" s="48">
        <f t="shared" si="67"/>
        <v>2</v>
      </c>
      <c r="L845" s="39" t="s">
        <v>10</v>
      </c>
      <c r="M845" s="39" t="s">
        <v>49</v>
      </c>
      <c r="O845" s="39">
        <v>4</v>
      </c>
      <c r="P845" s="39">
        <v>4</v>
      </c>
      <c r="Q845" s="39">
        <v>2</v>
      </c>
      <c r="S845" s="51" t="str">
        <f t="shared" si="68"/>
        <v>Detractor</v>
      </c>
    </row>
    <row r="846" ht="14.25" customHeight="1" spans="1:19">
      <c r="A846" s="43" t="s">
        <v>888</v>
      </c>
      <c r="B846" s="43" t="s">
        <v>13</v>
      </c>
      <c r="C846" s="43" t="s">
        <v>20</v>
      </c>
      <c r="D846" s="44">
        <v>45942</v>
      </c>
      <c r="H846" s="45" t="str">
        <f t="shared" si="69"/>
        <v>Cancelled</v>
      </c>
      <c r="I846" s="48">
        <f t="shared" si="65"/>
        <v>0</v>
      </c>
      <c r="J846" s="48">
        <f t="shared" si="66"/>
        <v>0</v>
      </c>
      <c r="K846" s="48">
        <f t="shared" si="67"/>
        <v>0</v>
      </c>
      <c r="L846" s="39" t="s">
        <v>10</v>
      </c>
      <c r="M846" s="39" t="s">
        <v>44</v>
      </c>
      <c r="S846" s="51" t="str">
        <f t="shared" si="68"/>
        <v>Detractor</v>
      </c>
    </row>
    <row r="847" ht="14.25" customHeight="1" spans="1:19">
      <c r="A847" s="43" t="s">
        <v>889</v>
      </c>
      <c r="B847" s="43" t="s">
        <v>11</v>
      </c>
      <c r="C847" s="43" t="s">
        <v>22</v>
      </c>
      <c r="D847" s="44">
        <v>45934</v>
      </c>
      <c r="E847" s="44">
        <v>45937</v>
      </c>
      <c r="F847" s="44">
        <v>45940</v>
      </c>
      <c r="G847" s="44">
        <v>45945</v>
      </c>
      <c r="H847" s="45" t="str">
        <f t="shared" si="69"/>
        <v>Delivered</v>
      </c>
      <c r="I847" s="48">
        <f t="shared" si="65"/>
        <v>3</v>
      </c>
      <c r="J847" s="48">
        <f t="shared" si="66"/>
        <v>3</v>
      </c>
      <c r="K847" s="48">
        <f t="shared" si="67"/>
        <v>5</v>
      </c>
      <c r="L847" s="39" t="s">
        <v>9</v>
      </c>
      <c r="N847" s="44">
        <v>45975</v>
      </c>
      <c r="O847" s="39">
        <v>3</v>
      </c>
      <c r="P847" s="39">
        <v>3</v>
      </c>
      <c r="Q847" s="39">
        <v>5</v>
      </c>
      <c r="R847" s="39">
        <v>7</v>
      </c>
      <c r="S847" s="51" t="str">
        <f t="shared" si="68"/>
        <v>Passive</v>
      </c>
    </row>
    <row r="848" ht="14.25" customHeight="1" spans="1:19">
      <c r="A848" s="43" t="s">
        <v>890</v>
      </c>
      <c r="B848" s="43" t="s">
        <v>11</v>
      </c>
      <c r="C848" s="43" t="s">
        <v>22</v>
      </c>
      <c r="D848" s="44">
        <v>45952</v>
      </c>
      <c r="E848" s="44">
        <v>45956</v>
      </c>
      <c r="F848" s="44">
        <v>45960</v>
      </c>
      <c r="G848" s="44">
        <v>45962</v>
      </c>
      <c r="H848" s="45" t="str">
        <f t="shared" si="69"/>
        <v>Delivered</v>
      </c>
      <c r="I848" s="48">
        <f t="shared" si="65"/>
        <v>4</v>
      </c>
      <c r="J848" s="48">
        <f t="shared" si="66"/>
        <v>4</v>
      </c>
      <c r="K848" s="48">
        <f t="shared" si="67"/>
        <v>2</v>
      </c>
      <c r="L848" s="39" t="s">
        <v>9</v>
      </c>
      <c r="N848" s="44">
        <v>45972</v>
      </c>
      <c r="O848" s="39">
        <v>4</v>
      </c>
      <c r="P848" s="39">
        <v>4</v>
      </c>
      <c r="Q848" s="39">
        <v>2</v>
      </c>
      <c r="R848" s="39">
        <v>3</v>
      </c>
      <c r="S848" s="51" t="str">
        <f t="shared" si="68"/>
        <v>Detractor</v>
      </c>
    </row>
    <row r="849" ht="14.25" customHeight="1" spans="1:19">
      <c r="A849" s="43" t="s">
        <v>891</v>
      </c>
      <c r="B849" s="43" t="s">
        <v>14</v>
      </c>
      <c r="C849" s="43" t="s">
        <v>20</v>
      </c>
      <c r="D849" s="44">
        <v>45942</v>
      </c>
      <c r="H849" s="45" t="str">
        <f t="shared" si="69"/>
        <v>Cancelled</v>
      </c>
      <c r="I849" s="48">
        <f t="shared" si="65"/>
        <v>0</v>
      </c>
      <c r="J849" s="48">
        <f t="shared" si="66"/>
        <v>0</v>
      </c>
      <c r="K849" s="48">
        <f t="shared" si="67"/>
        <v>0</v>
      </c>
      <c r="L849" s="39" t="s">
        <v>10</v>
      </c>
      <c r="M849" s="39" t="s">
        <v>79</v>
      </c>
      <c r="S849" s="51" t="str">
        <f t="shared" si="68"/>
        <v>Detractor</v>
      </c>
    </row>
    <row r="850" ht="14.25" customHeight="1" spans="1:19">
      <c r="A850" s="43" t="s">
        <v>892</v>
      </c>
      <c r="B850" s="43" t="s">
        <v>11</v>
      </c>
      <c r="C850" s="43" t="s">
        <v>21</v>
      </c>
      <c r="D850" s="44">
        <v>45948</v>
      </c>
      <c r="E850" s="44">
        <v>45949</v>
      </c>
      <c r="F850" s="44">
        <v>45952</v>
      </c>
      <c r="G850" s="44">
        <v>45955</v>
      </c>
      <c r="H850" s="45" t="str">
        <f t="shared" si="69"/>
        <v>Delivered</v>
      </c>
      <c r="I850" s="48">
        <f t="shared" si="65"/>
        <v>1</v>
      </c>
      <c r="J850" s="48">
        <f t="shared" si="66"/>
        <v>3</v>
      </c>
      <c r="K850" s="48">
        <f t="shared" si="67"/>
        <v>3</v>
      </c>
      <c r="L850" s="39" t="s">
        <v>9</v>
      </c>
      <c r="N850" s="44">
        <v>45974</v>
      </c>
      <c r="O850" s="39">
        <v>1</v>
      </c>
      <c r="P850" s="39">
        <v>3</v>
      </c>
      <c r="Q850" s="39">
        <v>3</v>
      </c>
      <c r="R850" s="39">
        <v>5</v>
      </c>
      <c r="S850" s="51" t="str">
        <f t="shared" si="68"/>
        <v>Detractor</v>
      </c>
    </row>
    <row r="851" ht="14.25" customHeight="1" spans="1:19">
      <c r="A851" s="43" t="s">
        <v>893</v>
      </c>
      <c r="B851" s="43" t="s">
        <v>13</v>
      </c>
      <c r="C851" s="43" t="s">
        <v>22</v>
      </c>
      <c r="D851" s="44">
        <v>45959</v>
      </c>
      <c r="E851" s="44">
        <v>45960</v>
      </c>
      <c r="F851" s="44">
        <v>45964</v>
      </c>
      <c r="G851" s="44">
        <v>45966</v>
      </c>
      <c r="H851" s="45" t="str">
        <f t="shared" si="69"/>
        <v>Delivered</v>
      </c>
      <c r="I851" s="48">
        <f t="shared" si="65"/>
        <v>1</v>
      </c>
      <c r="J851" s="48">
        <f t="shared" si="66"/>
        <v>4</v>
      </c>
      <c r="K851" s="48">
        <f t="shared" si="67"/>
        <v>2</v>
      </c>
      <c r="L851" s="39" t="s">
        <v>9</v>
      </c>
      <c r="N851" s="44">
        <v>45989</v>
      </c>
      <c r="O851" s="39">
        <v>1</v>
      </c>
      <c r="P851" s="39">
        <v>4</v>
      </c>
      <c r="Q851" s="39">
        <v>2</v>
      </c>
      <c r="R851" s="39">
        <v>6</v>
      </c>
      <c r="S851" s="51" t="str">
        <f t="shared" si="68"/>
        <v>Detractor</v>
      </c>
    </row>
    <row r="852" ht="14.25" customHeight="1" spans="1:19">
      <c r="A852" s="43" t="s">
        <v>894</v>
      </c>
      <c r="B852" s="43" t="s">
        <v>13</v>
      </c>
      <c r="C852" s="43" t="s">
        <v>22</v>
      </c>
      <c r="D852" s="44">
        <v>45951</v>
      </c>
      <c r="E852" s="44">
        <v>45953</v>
      </c>
      <c r="F852" s="44">
        <v>45958</v>
      </c>
      <c r="G852" s="44">
        <v>45960</v>
      </c>
      <c r="H852" s="45" t="str">
        <f t="shared" si="69"/>
        <v>Delivered</v>
      </c>
      <c r="I852" s="48">
        <f t="shared" si="65"/>
        <v>2</v>
      </c>
      <c r="J852" s="48">
        <f t="shared" si="66"/>
        <v>5</v>
      </c>
      <c r="K852" s="48">
        <f t="shared" si="67"/>
        <v>2</v>
      </c>
      <c r="L852" s="39" t="s">
        <v>9</v>
      </c>
      <c r="N852" s="44">
        <v>45973</v>
      </c>
      <c r="O852" s="39">
        <v>2</v>
      </c>
      <c r="P852" s="39">
        <v>5</v>
      </c>
      <c r="Q852" s="39">
        <v>2</v>
      </c>
      <c r="R852" s="39">
        <v>4</v>
      </c>
      <c r="S852" s="51" t="str">
        <f t="shared" si="68"/>
        <v>Detractor</v>
      </c>
    </row>
    <row r="853" ht="14.25" customHeight="1" spans="1:19">
      <c r="A853" s="43" t="s">
        <v>895</v>
      </c>
      <c r="B853" s="43" t="s">
        <v>14</v>
      </c>
      <c r="C853" s="43" t="s">
        <v>21</v>
      </c>
      <c r="D853" s="44">
        <v>45942</v>
      </c>
      <c r="E853" s="44">
        <v>45946</v>
      </c>
      <c r="F853" s="44">
        <v>45948</v>
      </c>
      <c r="G853" s="44">
        <v>45950</v>
      </c>
      <c r="H853" s="45" t="str">
        <f t="shared" si="69"/>
        <v>Delivered</v>
      </c>
      <c r="I853" s="48">
        <f t="shared" si="65"/>
        <v>4</v>
      </c>
      <c r="J853" s="48">
        <f t="shared" si="66"/>
        <v>2</v>
      </c>
      <c r="K853" s="48">
        <f t="shared" si="67"/>
        <v>2</v>
      </c>
      <c r="L853" s="39" t="s">
        <v>9</v>
      </c>
      <c r="N853" s="44">
        <v>45976</v>
      </c>
      <c r="O853" s="39">
        <v>4</v>
      </c>
      <c r="P853" s="39">
        <v>2</v>
      </c>
      <c r="Q853" s="39">
        <v>2</v>
      </c>
      <c r="R853" s="39">
        <v>9</v>
      </c>
      <c r="S853" s="51" t="str">
        <f t="shared" si="68"/>
        <v>Promoter</v>
      </c>
    </row>
    <row r="854" ht="14.25" customHeight="1" spans="1:19">
      <c r="A854" s="43" t="s">
        <v>896</v>
      </c>
      <c r="B854" s="43" t="s">
        <v>13</v>
      </c>
      <c r="C854" s="43" t="s">
        <v>20</v>
      </c>
      <c r="D854" s="44">
        <v>45932</v>
      </c>
      <c r="H854" s="45" t="str">
        <f t="shared" si="69"/>
        <v>Cancelled</v>
      </c>
      <c r="I854" s="48">
        <f t="shared" si="65"/>
        <v>0</v>
      </c>
      <c r="J854" s="48">
        <f t="shared" si="66"/>
        <v>0</v>
      </c>
      <c r="K854" s="48">
        <f t="shared" si="67"/>
        <v>0</v>
      </c>
      <c r="L854" s="39" t="s">
        <v>10</v>
      </c>
      <c r="M854" s="39" t="s">
        <v>117</v>
      </c>
      <c r="S854" s="51" t="str">
        <f t="shared" si="68"/>
        <v>Detractor</v>
      </c>
    </row>
    <row r="855" ht="14.25" customHeight="1" spans="1:19">
      <c r="A855" s="43" t="s">
        <v>897</v>
      </c>
      <c r="B855" s="43" t="s">
        <v>12</v>
      </c>
      <c r="C855" s="43" t="s">
        <v>22</v>
      </c>
      <c r="D855" s="44">
        <v>45943</v>
      </c>
      <c r="E855" s="44">
        <v>45947</v>
      </c>
      <c r="F855" s="44">
        <v>45950</v>
      </c>
      <c r="G855" s="44">
        <v>45953</v>
      </c>
      <c r="H855" s="45" t="str">
        <f t="shared" si="69"/>
        <v>Delivered</v>
      </c>
      <c r="I855" s="48">
        <f t="shared" si="65"/>
        <v>4</v>
      </c>
      <c r="J855" s="48">
        <f t="shared" si="66"/>
        <v>3</v>
      </c>
      <c r="K855" s="48">
        <f t="shared" si="67"/>
        <v>3</v>
      </c>
      <c r="L855" s="39" t="s">
        <v>10</v>
      </c>
      <c r="M855" s="39" t="s">
        <v>42</v>
      </c>
      <c r="O855" s="39">
        <v>4</v>
      </c>
      <c r="P855" s="39">
        <v>3</v>
      </c>
      <c r="Q855" s="39">
        <v>3</v>
      </c>
      <c r="S855" s="51" t="str">
        <f t="shared" si="68"/>
        <v>Detractor</v>
      </c>
    </row>
    <row r="856" ht="14.25" customHeight="1" spans="1:19">
      <c r="A856" s="43" t="s">
        <v>898</v>
      </c>
      <c r="B856" s="43" t="s">
        <v>13</v>
      </c>
      <c r="C856" s="43" t="s">
        <v>22</v>
      </c>
      <c r="D856" s="44">
        <v>45939</v>
      </c>
      <c r="E856" s="44">
        <v>45943</v>
      </c>
      <c r="F856" s="44">
        <v>45946</v>
      </c>
      <c r="G856" s="44">
        <v>45949</v>
      </c>
      <c r="H856" s="45" t="str">
        <f t="shared" si="69"/>
        <v>Delivered</v>
      </c>
      <c r="I856" s="48">
        <f t="shared" si="65"/>
        <v>4</v>
      </c>
      <c r="J856" s="48">
        <f t="shared" si="66"/>
        <v>3</v>
      </c>
      <c r="K856" s="48">
        <f t="shared" si="67"/>
        <v>3</v>
      </c>
      <c r="L856" s="39" t="s">
        <v>9</v>
      </c>
      <c r="N856" s="44">
        <v>45967</v>
      </c>
      <c r="O856" s="39">
        <v>4</v>
      </c>
      <c r="P856" s="39">
        <v>3</v>
      </c>
      <c r="Q856" s="39">
        <v>3</v>
      </c>
      <c r="R856" s="39">
        <v>2</v>
      </c>
      <c r="S856" s="51" t="str">
        <f t="shared" si="68"/>
        <v>Detractor</v>
      </c>
    </row>
    <row r="857" ht="14.25" customHeight="1" spans="1:19">
      <c r="A857" s="43" t="s">
        <v>899</v>
      </c>
      <c r="B857" s="43" t="s">
        <v>13</v>
      </c>
      <c r="C857" s="43" t="s">
        <v>21</v>
      </c>
      <c r="D857" s="44">
        <v>45937</v>
      </c>
      <c r="E857" s="44">
        <v>45941</v>
      </c>
      <c r="F857" s="44">
        <v>45946</v>
      </c>
      <c r="G857" s="44">
        <v>45949</v>
      </c>
      <c r="H857" s="45" t="str">
        <f t="shared" si="69"/>
        <v>Delivered</v>
      </c>
      <c r="I857" s="48">
        <f t="shared" si="65"/>
        <v>4</v>
      </c>
      <c r="J857" s="48">
        <f t="shared" si="66"/>
        <v>5</v>
      </c>
      <c r="K857" s="48">
        <f t="shared" si="67"/>
        <v>3</v>
      </c>
      <c r="L857" s="39" t="s">
        <v>9</v>
      </c>
      <c r="N857" s="44">
        <v>45978</v>
      </c>
      <c r="O857" s="39">
        <v>4</v>
      </c>
      <c r="P857" s="39">
        <v>5</v>
      </c>
      <c r="Q857" s="39">
        <v>3</v>
      </c>
      <c r="R857" s="39">
        <v>7</v>
      </c>
      <c r="S857" s="51" t="str">
        <f t="shared" si="68"/>
        <v>Passive</v>
      </c>
    </row>
    <row r="858" ht="14.25" customHeight="1" spans="1:19">
      <c r="A858" s="43" t="s">
        <v>900</v>
      </c>
      <c r="B858" s="43" t="s">
        <v>11</v>
      </c>
      <c r="C858" s="43" t="s">
        <v>21</v>
      </c>
      <c r="D858" s="44">
        <v>45961</v>
      </c>
      <c r="E858" s="44">
        <v>45963</v>
      </c>
      <c r="F858" s="44">
        <v>45965</v>
      </c>
      <c r="G858" s="44">
        <v>45970</v>
      </c>
      <c r="H858" s="45" t="str">
        <f t="shared" si="69"/>
        <v>Delivered</v>
      </c>
      <c r="I858" s="48">
        <f t="shared" si="65"/>
        <v>2</v>
      </c>
      <c r="J858" s="48">
        <f t="shared" si="66"/>
        <v>2</v>
      </c>
      <c r="K858" s="48">
        <f t="shared" si="67"/>
        <v>5</v>
      </c>
      <c r="L858" s="39" t="s">
        <v>9</v>
      </c>
      <c r="N858" s="44">
        <v>45999</v>
      </c>
      <c r="O858" s="39">
        <v>2</v>
      </c>
      <c r="P858" s="39">
        <v>2</v>
      </c>
      <c r="Q858" s="39">
        <v>5</v>
      </c>
      <c r="R858" s="39">
        <v>1</v>
      </c>
      <c r="S858" s="51" t="str">
        <f t="shared" si="68"/>
        <v>Detractor</v>
      </c>
    </row>
    <row r="859" ht="14.25" customHeight="1" spans="1:19">
      <c r="A859" s="43" t="s">
        <v>901</v>
      </c>
      <c r="B859" s="43" t="s">
        <v>11</v>
      </c>
      <c r="C859" s="43" t="s">
        <v>22</v>
      </c>
      <c r="D859" s="44">
        <v>45934</v>
      </c>
      <c r="E859" s="44">
        <v>45937</v>
      </c>
      <c r="F859" s="44">
        <v>45941</v>
      </c>
      <c r="G859" s="44">
        <v>45945</v>
      </c>
      <c r="H859" s="45" t="str">
        <f t="shared" si="69"/>
        <v>Delivered</v>
      </c>
      <c r="I859" s="48">
        <f t="shared" si="65"/>
        <v>3</v>
      </c>
      <c r="J859" s="48">
        <f t="shared" si="66"/>
        <v>4</v>
      </c>
      <c r="K859" s="48">
        <f t="shared" si="67"/>
        <v>4</v>
      </c>
      <c r="L859" s="39" t="s">
        <v>9</v>
      </c>
      <c r="N859" s="44">
        <v>45959</v>
      </c>
      <c r="O859" s="39">
        <v>3</v>
      </c>
      <c r="P859" s="39">
        <v>4</v>
      </c>
      <c r="Q859" s="39">
        <v>4</v>
      </c>
      <c r="R859" s="39">
        <v>3</v>
      </c>
      <c r="S859" s="51" t="str">
        <f t="shared" si="68"/>
        <v>Detractor</v>
      </c>
    </row>
    <row r="860" ht="14.25" customHeight="1" spans="1:19">
      <c r="A860" s="43" t="s">
        <v>902</v>
      </c>
      <c r="B860" s="43" t="s">
        <v>13</v>
      </c>
      <c r="C860" s="43" t="s">
        <v>22</v>
      </c>
      <c r="D860" s="44">
        <v>45961</v>
      </c>
      <c r="E860" s="44">
        <v>45966</v>
      </c>
      <c r="F860" s="44">
        <v>45969</v>
      </c>
      <c r="G860" s="44">
        <v>45976</v>
      </c>
      <c r="H860" s="45" t="str">
        <f t="shared" si="69"/>
        <v>Delivered</v>
      </c>
      <c r="I860" s="48">
        <f t="shared" si="65"/>
        <v>5</v>
      </c>
      <c r="J860" s="48">
        <f t="shared" si="66"/>
        <v>3</v>
      </c>
      <c r="K860" s="48">
        <f t="shared" si="67"/>
        <v>7</v>
      </c>
      <c r="L860" s="39" t="s">
        <v>9</v>
      </c>
      <c r="N860" s="44">
        <v>45999</v>
      </c>
      <c r="O860" s="39">
        <v>5</v>
      </c>
      <c r="P860" s="39">
        <v>3</v>
      </c>
      <c r="Q860" s="39">
        <v>7</v>
      </c>
      <c r="R860" s="39">
        <v>7</v>
      </c>
      <c r="S860" s="51" t="str">
        <f t="shared" si="68"/>
        <v>Passive</v>
      </c>
    </row>
    <row r="861" ht="14.25" customHeight="1" spans="1:19">
      <c r="A861" s="43" t="s">
        <v>903</v>
      </c>
      <c r="B861" s="43" t="s">
        <v>14</v>
      </c>
      <c r="C861" s="43" t="s">
        <v>21</v>
      </c>
      <c r="D861" s="44">
        <v>45958</v>
      </c>
      <c r="E861" s="44">
        <v>45960</v>
      </c>
      <c r="F861" s="44">
        <v>45962</v>
      </c>
      <c r="G861" s="44">
        <v>45969</v>
      </c>
      <c r="H861" s="45" t="str">
        <f t="shared" si="69"/>
        <v>Delivered</v>
      </c>
      <c r="I861" s="48">
        <f t="shared" si="65"/>
        <v>2</v>
      </c>
      <c r="J861" s="48">
        <f t="shared" si="66"/>
        <v>2</v>
      </c>
      <c r="K861" s="48">
        <f t="shared" si="67"/>
        <v>7</v>
      </c>
      <c r="L861" s="39" t="s">
        <v>9</v>
      </c>
      <c r="N861" s="44">
        <v>45982</v>
      </c>
      <c r="O861" s="39">
        <v>2</v>
      </c>
      <c r="P861" s="39">
        <v>2</v>
      </c>
      <c r="Q861" s="39">
        <v>7</v>
      </c>
      <c r="R861" s="39">
        <v>4</v>
      </c>
      <c r="S861" s="51" t="str">
        <f t="shared" si="68"/>
        <v>Detractor</v>
      </c>
    </row>
    <row r="862" ht="14.25" customHeight="1" spans="1:19">
      <c r="A862" s="43" t="s">
        <v>904</v>
      </c>
      <c r="B862" s="43" t="s">
        <v>11</v>
      </c>
      <c r="C862" s="43" t="s">
        <v>22</v>
      </c>
      <c r="D862" s="44">
        <v>45957</v>
      </c>
      <c r="E862" s="44">
        <v>45960</v>
      </c>
      <c r="F862" s="44">
        <v>45964</v>
      </c>
      <c r="G862" s="44">
        <v>45971</v>
      </c>
      <c r="H862" s="45" t="str">
        <f t="shared" si="69"/>
        <v>Delivered</v>
      </c>
      <c r="I862" s="48">
        <f t="shared" si="65"/>
        <v>3</v>
      </c>
      <c r="J862" s="48">
        <f t="shared" si="66"/>
        <v>4</v>
      </c>
      <c r="K862" s="48">
        <f t="shared" si="67"/>
        <v>7</v>
      </c>
      <c r="L862" s="39" t="s">
        <v>9</v>
      </c>
      <c r="N862" s="44">
        <v>45997</v>
      </c>
      <c r="O862" s="39">
        <v>3</v>
      </c>
      <c r="P862" s="39">
        <v>4</v>
      </c>
      <c r="Q862" s="39">
        <v>7</v>
      </c>
      <c r="R862" s="39">
        <v>2</v>
      </c>
      <c r="S862" s="51" t="str">
        <f t="shared" si="68"/>
        <v>Detractor</v>
      </c>
    </row>
    <row r="863" ht="14.25" customHeight="1" spans="1:19">
      <c r="A863" s="43" t="s">
        <v>905</v>
      </c>
      <c r="B863" s="43" t="s">
        <v>14</v>
      </c>
      <c r="C863" s="43" t="s">
        <v>22</v>
      </c>
      <c r="D863" s="44">
        <v>45945</v>
      </c>
      <c r="E863" s="44">
        <v>45948</v>
      </c>
      <c r="F863" s="44">
        <v>45951</v>
      </c>
      <c r="G863" s="44">
        <v>45953</v>
      </c>
      <c r="H863" s="45" t="str">
        <f t="shared" si="69"/>
        <v>Delivered</v>
      </c>
      <c r="I863" s="48">
        <f t="shared" si="65"/>
        <v>3</v>
      </c>
      <c r="J863" s="48">
        <f t="shared" si="66"/>
        <v>3</v>
      </c>
      <c r="K863" s="48">
        <f t="shared" si="67"/>
        <v>2</v>
      </c>
      <c r="L863" s="39" t="s">
        <v>9</v>
      </c>
      <c r="N863" s="44">
        <v>45982</v>
      </c>
      <c r="O863" s="39">
        <v>3</v>
      </c>
      <c r="P863" s="39">
        <v>3</v>
      </c>
      <c r="Q863" s="39">
        <v>2</v>
      </c>
      <c r="R863" s="39">
        <v>5</v>
      </c>
      <c r="S863" s="51" t="str">
        <f t="shared" si="68"/>
        <v>Detractor</v>
      </c>
    </row>
    <row r="864" ht="14.25" customHeight="1" spans="1:19">
      <c r="A864" s="43" t="s">
        <v>906</v>
      </c>
      <c r="B864" s="43" t="s">
        <v>13</v>
      </c>
      <c r="C864" s="43" t="s">
        <v>21</v>
      </c>
      <c r="D864" s="44">
        <v>45933</v>
      </c>
      <c r="E864" s="44">
        <v>45936</v>
      </c>
      <c r="F864" s="44">
        <v>45939</v>
      </c>
      <c r="G864" s="44">
        <v>45945</v>
      </c>
      <c r="H864" s="45" t="str">
        <f t="shared" si="69"/>
        <v>Delivered</v>
      </c>
      <c r="I864" s="48">
        <f t="shared" si="65"/>
        <v>3</v>
      </c>
      <c r="J864" s="48">
        <f t="shared" si="66"/>
        <v>3</v>
      </c>
      <c r="K864" s="48">
        <f t="shared" si="67"/>
        <v>6</v>
      </c>
      <c r="L864" s="39" t="s">
        <v>10</v>
      </c>
      <c r="M864" s="39" t="s">
        <v>79</v>
      </c>
      <c r="O864" s="39">
        <v>3</v>
      </c>
      <c r="P864" s="39">
        <v>3</v>
      </c>
      <c r="Q864" s="39">
        <v>6</v>
      </c>
      <c r="S864" s="51" t="str">
        <f t="shared" si="68"/>
        <v>Detractor</v>
      </c>
    </row>
    <row r="865" ht="14.25" customHeight="1" spans="1:19">
      <c r="A865" s="43" t="s">
        <v>907</v>
      </c>
      <c r="B865" s="43" t="s">
        <v>13</v>
      </c>
      <c r="C865" s="43" t="s">
        <v>22</v>
      </c>
      <c r="D865" s="44">
        <v>45952</v>
      </c>
      <c r="E865" s="44">
        <v>45956</v>
      </c>
      <c r="F865" s="44">
        <v>45960</v>
      </c>
      <c r="G865" s="44">
        <v>45966</v>
      </c>
      <c r="H865" s="45" t="str">
        <f t="shared" si="69"/>
        <v>Delivered</v>
      </c>
      <c r="I865" s="48">
        <f t="shared" si="65"/>
        <v>4</v>
      </c>
      <c r="J865" s="48">
        <f t="shared" si="66"/>
        <v>4</v>
      </c>
      <c r="K865" s="48">
        <f t="shared" si="67"/>
        <v>6</v>
      </c>
      <c r="L865" s="39" t="s">
        <v>9</v>
      </c>
      <c r="N865" s="44">
        <v>45979</v>
      </c>
      <c r="O865" s="39">
        <v>4</v>
      </c>
      <c r="P865" s="39">
        <v>4</v>
      </c>
      <c r="Q865" s="39">
        <v>6</v>
      </c>
      <c r="R865" s="39">
        <v>9</v>
      </c>
      <c r="S865" s="51" t="str">
        <f t="shared" si="68"/>
        <v>Promoter</v>
      </c>
    </row>
    <row r="866" ht="14.25" customHeight="1" spans="1:19">
      <c r="A866" s="43" t="s">
        <v>908</v>
      </c>
      <c r="B866" s="43" t="s">
        <v>12</v>
      </c>
      <c r="C866" s="43" t="s">
        <v>21</v>
      </c>
      <c r="D866" s="44">
        <v>45937</v>
      </c>
      <c r="E866" s="44">
        <v>45939</v>
      </c>
      <c r="F866" s="44">
        <v>45944</v>
      </c>
      <c r="G866" s="44">
        <v>45948</v>
      </c>
      <c r="H866" s="45" t="str">
        <f t="shared" si="69"/>
        <v>Delivered</v>
      </c>
      <c r="I866" s="48">
        <f t="shared" si="65"/>
        <v>2</v>
      </c>
      <c r="J866" s="48">
        <f t="shared" si="66"/>
        <v>5</v>
      </c>
      <c r="K866" s="48">
        <f t="shared" si="67"/>
        <v>4</v>
      </c>
      <c r="L866" s="39" t="s">
        <v>9</v>
      </c>
      <c r="N866" s="44">
        <v>45967</v>
      </c>
      <c r="O866" s="39">
        <v>2</v>
      </c>
      <c r="P866" s="39">
        <v>5</v>
      </c>
      <c r="Q866" s="39">
        <v>4</v>
      </c>
      <c r="R866" s="39">
        <v>4</v>
      </c>
      <c r="S866" s="51" t="str">
        <f t="shared" si="68"/>
        <v>Detractor</v>
      </c>
    </row>
    <row r="867" ht="14.25" customHeight="1" spans="1:19">
      <c r="A867" s="43" t="s">
        <v>909</v>
      </c>
      <c r="B867" s="43" t="s">
        <v>11</v>
      </c>
      <c r="C867" s="43" t="s">
        <v>20</v>
      </c>
      <c r="D867" s="44">
        <v>45951</v>
      </c>
      <c r="H867" s="45" t="str">
        <f t="shared" si="69"/>
        <v>Cancelled</v>
      </c>
      <c r="I867" s="48">
        <f t="shared" si="65"/>
        <v>0</v>
      </c>
      <c r="J867" s="48">
        <f t="shared" si="66"/>
        <v>0</v>
      </c>
      <c r="K867" s="48">
        <f t="shared" si="67"/>
        <v>0</v>
      </c>
      <c r="L867" s="39" t="s">
        <v>10</v>
      </c>
      <c r="M867" s="39" t="s">
        <v>44</v>
      </c>
      <c r="S867" s="51" t="str">
        <f t="shared" si="68"/>
        <v>Detractor</v>
      </c>
    </row>
    <row r="868" ht="14.25" customHeight="1" spans="1:19">
      <c r="A868" s="43" t="s">
        <v>910</v>
      </c>
      <c r="B868" s="43" t="s">
        <v>13</v>
      </c>
      <c r="C868" s="43" t="s">
        <v>22</v>
      </c>
      <c r="D868" s="44">
        <v>45951</v>
      </c>
      <c r="E868" s="44">
        <v>45954</v>
      </c>
      <c r="F868" s="44">
        <v>45956</v>
      </c>
      <c r="G868" s="44">
        <v>45958</v>
      </c>
      <c r="H868" s="45" t="str">
        <f t="shared" si="69"/>
        <v>Delivered</v>
      </c>
      <c r="I868" s="48">
        <f t="shared" si="65"/>
        <v>3</v>
      </c>
      <c r="J868" s="48">
        <f t="shared" si="66"/>
        <v>2</v>
      </c>
      <c r="K868" s="48">
        <f t="shared" si="67"/>
        <v>2</v>
      </c>
      <c r="L868" s="39" t="s">
        <v>9</v>
      </c>
      <c r="N868" s="44">
        <v>45971</v>
      </c>
      <c r="O868" s="39">
        <v>3</v>
      </c>
      <c r="P868" s="39">
        <v>2</v>
      </c>
      <c r="Q868" s="39">
        <v>2</v>
      </c>
      <c r="R868" s="39">
        <v>9</v>
      </c>
      <c r="S868" s="51" t="str">
        <f t="shared" si="68"/>
        <v>Promoter</v>
      </c>
    </row>
    <row r="869" ht="14.25" customHeight="1" spans="1:19">
      <c r="A869" s="43" t="s">
        <v>911</v>
      </c>
      <c r="B869" s="43" t="s">
        <v>12</v>
      </c>
      <c r="C869" s="43" t="s">
        <v>21</v>
      </c>
      <c r="D869" s="44">
        <v>45950</v>
      </c>
      <c r="E869" s="44">
        <v>45955</v>
      </c>
      <c r="F869" s="44">
        <v>45958</v>
      </c>
      <c r="G869" s="44">
        <v>45960</v>
      </c>
      <c r="H869" s="45" t="str">
        <f t="shared" si="69"/>
        <v>Delivered</v>
      </c>
      <c r="I869" s="48">
        <f t="shared" si="65"/>
        <v>5</v>
      </c>
      <c r="J869" s="48">
        <f t="shared" si="66"/>
        <v>3</v>
      </c>
      <c r="K869" s="48">
        <f t="shared" si="67"/>
        <v>2</v>
      </c>
      <c r="L869" s="39" t="s">
        <v>9</v>
      </c>
      <c r="N869" s="44">
        <v>45973</v>
      </c>
      <c r="O869" s="39">
        <v>5</v>
      </c>
      <c r="P869" s="39">
        <v>3</v>
      </c>
      <c r="Q869" s="39">
        <v>2</v>
      </c>
      <c r="R869" s="39">
        <v>9</v>
      </c>
      <c r="S869" s="51" t="str">
        <f t="shared" si="68"/>
        <v>Promoter</v>
      </c>
    </row>
    <row r="870" ht="14.25" customHeight="1" spans="1:19">
      <c r="A870" s="43" t="s">
        <v>912</v>
      </c>
      <c r="B870" s="43" t="s">
        <v>11</v>
      </c>
      <c r="C870" s="43" t="s">
        <v>22</v>
      </c>
      <c r="D870" s="44">
        <v>45931</v>
      </c>
      <c r="E870" s="44">
        <v>45936</v>
      </c>
      <c r="F870" s="44">
        <v>45940</v>
      </c>
      <c r="G870" s="44">
        <v>45942</v>
      </c>
      <c r="H870" s="45" t="str">
        <f t="shared" si="69"/>
        <v>Delivered</v>
      </c>
      <c r="I870" s="48">
        <f t="shared" si="65"/>
        <v>5</v>
      </c>
      <c r="J870" s="48">
        <f t="shared" si="66"/>
        <v>4</v>
      </c>
      <c r="K870" s="48">
        <f t="shared" si="67"/>
        <v>2</v>
      </c>
      <c r="L870" s="39" t="s">
        <v>9</v>
      </c>
      <c r="N870" s="44">
        <v>45967</v>
      </c>
      <c r="O870" s="39">
        <v>5</v>
      </c>
      <c r="P870" s="39">
        <v>4</v>
      </c>
      <c r="Q870" s="39">
        <v>2</v>
      </c>
      <c r="R870" s="39">
        <v>5</v>
      </c>
      <c r="S870" s="51" t="str">
        <f t="shared" si="68"/>
        <v>Detractor</v>
      </c>
    </row>
    <row r="871" ht="14.25" customHeight="1" spans="1:19">
      <c r="A871" s="43" t="s">
        <v>913</v>
      </c>
      <c r="B871" s="43" t="s">
        <v>13</v>
      </c>
      <c r="C871" s="43" t="s">
        <v>22</v>
      </c>
      <c r="D871" s="44">
        <v>45932</v>
      </c>
      <c r="E871" s="44">
        <v>45933</v>
      </c>
      <c r="F871" s="44">
        <v>45936</v>
      </c>
      <c r="G871" s="44">
        <v>45939</v>
      </c>
      <c r="H871" s="45" t="str">
        <f t="shared" si="69"/>
        <v>Delivered</v>
      </c>
      <c r="I871" s="48">
        <f t="shared" si="65"/>
        <v>1</v>
      </c>
      <c r="J871" s="48">
        <f t="shared" si="66"/>
        <v>3</v>
      </c>
      <c r="K871" s="48">
        <f t="shared" si="67"/>
        <v>3</v>
      </c>
      <c r="L871" s="39" t="s">
        <v>9</v>
      </c>
      <c r="N871" s="44">
        <v>45955</v>
      </c>
      <c r="O871" s="39">
        <v>1</v>
      </c>
      <c r="P871" s="39">
        <v>3</v>
      </c>
      <c r="Q871" s="39">
        <v>3</v>
      </c>
      <c r="R871" s="39">
        <v>1</v>
      </c>
      <c r="S871" s="51" t="str">
        <f t="shared" si="68"/>
        <v>Detractor</v>
      </c>
    </row>
    <row r="872" ht="14.25" customHeight="1" spans="1:19">
      <c r="A872" s="43" t="s">
        <v>914</v>
      </c>
      <c r="B872" s="43" t="s">
        <v>13</v>
      </c>
      <c r="C872" s="43" t="s">
        <v>22</v>
      </c>
      <c r="D872" s="44">
        <v>45956</v>
      </c>
      <c r="E872" s="44">
        <v>45959</v>
      </c>
      <c r="F872" s="44">
        <v>45963</v>
      </c>
      <c r="G872" s="44">
        <v>45970</v>
      </c>
      <c r="H872" s="45" t="str">
        <f t="shared" si="69"/>
        <v>Delivered</v>
      </c>
      <c r="I872" s="48">
        <f t="shared" si="65"/>
        <v>3</v>
      </c>
      <c r="J872" s="48">
        <f t="shared" si="66"/>
        <v>4</v>
      </c>
      <c r="K872" s="48">
        <f t="shared" si="67"/>
        <v>7</v>
      </c>
      <c r="L872" s="39" t="s">
        <v>9</v>
      </c>
      <c r="N872" s="44">
        <v>45999</v>
      </c>
      <c r="O872" s="39">
        <v>3</v>
      </c>
      <c r="P872" s="39">
        <v>4</v>
      </c>
      <c r="Q872" s="39">
        <v>7</v>
      </c>
      <c r="R872" s="39">
        <v>8</v>
      </c>
      <c r="S872" s="51" t="str">
        <f t="shared" si="68"/>
        <v>Passive</v>
      </c>
    </row>
    <row r="873" ht="14.25" customHeight="1" spans="1:19">
      <c r="A873" s="43" t="s">
        <v>915</v>
      </c>
      <c r="B873" s="43" t="s">
        <v>11</v>
      </c>
      <c r="C873" s="43" t="s">
        <v>22</v>
      </c>
      <c r="D873" s="44">
        <v>45941</v>
      </c>
      <c r="E873" s="44">
        <v>45943</v>
      </c>
      <c r="F873" s="44">
        <v>45946</v>
      </c>
      <c r="G873" s="44">
        <v>45951</v>
      </c>
      <c r="H873" s="45" t="str">
        <f t="shared" si="69"/>
        <v>Delivered</v>
      </c>
      <c r="I873" s="48">
        <f t="shared" si="65"/>
        <v>2</v>
      </c>
      <c r="J873" s="48">
        <f t="shared" si="66"/>
        <v>3</v>
      </c>
      <c r="K873" s="48">
        <f t="shared" si="67"/>
        <v>5</v>
      </c>
      <c r="L873" s="39" t="s">
        <v>9</v>
      </c>
      <c r="N873" s="44">
        <v>45967</v>
      </c>
      <c r="O873" s="39">
        <v>2</v>
      </c>
      <c r="P873" s="39">
        <v>3</v>
      </c>
      <c r="Q873" s="39">
        <v>5</v>
      </c>
      <c r="R873" s="39">
        <v>7</v>
      </c>
      <c r="S873" s="51" t="str">
        <f t="shared" si="68"/>
        <v>Passive</v>
      </c>
    </row>
    <row r="874" ht="14.25" customHeight="1" spans="1:19">
      <c r="A874" s="43" t="s">
        <v>916</v>
      </c>
      <c r="B874" s="43" t="s">
        <v>11</v>
      </c>
      <c r="C874" s="43" t="s">
        <v>22</v>
      </c>
      <c r="D874" s="44">
        <v>45938</v>
      </c>
      <c r="E874" s="44">
        <v>45942</v>
      </c>
      <c r="F874" s="44">
        <v>45943</v>
      </c>
      <c r="G874" s="44">
        <v>45946</v>
      </c>
      <c r="H874" s="45" t="str">
        <f t="shared" si="69"/>
        <v>Delivered</v>
      </c>
      <c r="I874" s="48">
        <f t="shared" si="65"/>
        <v>4</v>
      </c>
      <c r="J874" s="48">
        <f t="shared" si="66"/>
        <v>1</v>
      </c>
      <c r="K874" s="48">
        <f t="shared" si="67"/>
        <v>3</v>
      </c>
      <c r="L874" s="39" t="s">
        <v>9</v>
      </c>
      <c r="N874" s="44">
        <v>45964</v>
      </c>
      <c r="O874" s="39">
        <v>4</v>
      </c>
      <c r="P874" s="39">
        <v>1</v>
      </c>
      <c r="Q874" s="39">
        <v>3</v>
      </c>
      <c r="R874" s="39">
        <v>5</v>
      </c>
      <c r="S874" s="51" t="str">
        <f t="shared" si="68"/>
        <v>Detractor</v>
      </c>
    </row>
    <row r="875" ht="14.25" customHeight="1" spans="1:19">
      <c r="A875" s="43" t="s">
        <v>917</v>
      </c>
      <c r="B875" s="43" t="s">
        <v>11</v>
      </c>
      <c r="C875" s="43" t="s">
        <v>21</v>
      </c>
      <c r="D875" s="44">
        <v>45935</v>
      </c>
      <c r="E875" s="44">
        <v>45936</v>
      </c>
      <c r="F875" s="44">
        <v>45941</v>
      </c>
      <c r="G875" s="44">
        <v>45943</v>
      </c>
      <c r="H875" s="45" t="str">
        <f t="shared" si="69"/>
        <v>Delivered</v>
      </c>
      <c r="I875" s="48">
        <f t="shared" si="65"/>
        <v>1</v>
      </c>
      <c r="J875" s="48">
        <f t="shared" si="66"/>
        <v>5</v>
      </c>
      <c r="K875" s="48">
        <f t="shared" si="67"/>
        <v>2</v>
      </c>
      <c r="L875" s="39" t="s">
        <v>9</v>
      </c>
      <c r="N875" s="44">
        <v>45969</v>
      </c>
      <c r="O875" s="39">
        <v>1</v>
      </c>
      <c r="P875" s="39">
        <v>5</v>
      </c>
      <c r="Q875" s="39">
        <v>2</v>
      </c>
      <c r="R875" s="39">
        <v>4</v>
      </c>
      <c r="S875" s="51" t="str">
        <f t="shared" si="68"/>
        <v>Detractor</v>
      </c>
    </row>
    <row r="876" ht="14.25" customHeight="1" spans="1:19">
      <c r="A876" s="43" t="s">
        <v>918</v>
      </c>
      <c r="B876" s="43" t="s">
        <v>13</v>
      </c>
      <c r="C876" s="43" t="s">
        <v>21</v>
      </c>
      <c r="D876" s="44">
        <v>45956</v>
      </c>
      <c r="E876" s="44">
        <v>45959</v>
      </c>
      <c r="F876" s="44">
        <v>45961</v>
      </c>
      <c r="G876" s="44">
        <v>45965</v>
      </c>
      <c r="H876" s="45" t="str">
        <f t="shared" si="69"/>
        <v>Delivered</v>
      </c>
      <c r="I876" s="48">
        <f t="shared" si="65"/>
        <v>3</v>
      </c>
      <c r="J876" s="48">
        <f t="shared" si="66"/>
        <v>2</v>
      </c>
      <c r="K876" s="48">
        <f t="shared" si="67"/>
        <v>4</v>
      </c>
      <c r="L876" s="39" t="s">
        <v>9</v>
      </c>
      <c r="N876" s="44">
        <v>45981</v>
      </c>
      <c r="O876" s="39">
        <v>3</v>
      </c>
      <c r="P876" s="39">
        <v>2</v>
      </c>
      <c r="Q876" s="39">
        <v>4</v>
      </c>
      <c r="R876" s="39">
        <v>3</v>
      </c>
      <c r="S876" s="51" t="str">
        <f t="shared" si="68"/>
        <v>Detractor</v>
      </c>
    </row>
    <row r="877" ht="14.25" customHeight="1" spans="1:19">
      <c r="A877" s="43" t="s">
        <v>919</v>
      </c>
      <c r="B877" s="43" t="s">
        <v>13</v>
      </c>
      <c r="C877" s="43" t="s">
        <v>21</v>
      </c>
      <c r="D877" s="44">
        <v>45949</v>
      </c>
      <c r="E877" s="44">
        <v>45953</v>
      </c>
      <c r="F877" s="44">
        <v>45958</v>
      </c>
      <c r="G877" s="44">
        <v>45960</v>
      </c>
      <c r="H877" s="45" t="str">
        <f t="shared" si="69"/>
        <v>Delivered</v>
      </c>
      <c r="I877" s="48">
        <f t="shared" si="65"/>
        <v>4</v>
      </c>
      <c r="J877" s="48">
        <f t="shared" si="66"/>
        <v>5</v>
      </c>
      <c r="K877" s="48">
        <f t="shared" si="67"/>
        <v>2</v>
      </c>
      <c r="L877" s="39" t="s">
        <v>9</v>
      </c>
      <c r="N877" s="44">
        <v>45981</v>
      </c>
      <c r="O877" s="39">
        <v>4</v>
      </c>
      <c r="P877" s="39">
        <v>5</v>
      </c>
      <c r="Q877" s="39">
        <v>2</v>
      </c>
      <c r="R877" s="39">
        <v>6</v>
      </c>
      <c r="S877" s="51" t="str">
        <f t="shared" si="68"/>
        <v>Detractor</v>
      </c>
    </row>
    <row r="878" ht="14.25" customHeight="1" spans="1:19">
      <c r="A878" s="43" t="s">
        <v>920</v>
      </c>
      <c r="B878" s="43" t="s">
        <v>12</v>
      </c>
      <c r="C878" s="43" t="s">
        <v>22</v>
      </c>
      <c r="D878" s="44">
        <v>45937</v>
      </c>
      <c r="E878" s="44">
        <v>45939</v>
      </c>
      <c r="F878" s="44">
        <v>45944</v>
      </c>
      <c r="G878" s="44">
        <v>45946</v>
      </c>
      <c r="H878" s="45" t="str">
        <f t="shared" si="69"/>
        <v>Delivered</v>
      </c>
      <c r="I878" s="48">
        <f t="shared" si="65"/>
        <v>2</v>
      </c>
      <c r="J878" s="48">
        <f t="shared" si="66"/>
        <v>5</v>
      </c>
      <c r="K878" s="48">
        <f t="shared" si="67"/>
        <v>2</v>
      </c>
      <c r="L878" s="39" t="s">
        <v>9</v>
      </c>
      <c r="N878" s="44">
        <v>45969</v>
      </c>
      <c r="O878" s="39">
        <v>2</v>
      </c>
      <c r="P878" s="39">
        <v>5</v>
      </c>
      <c r="Q878" s="39">
        <v>2</v>
      </c>
      <c r="R878" s="39">
        <v>2</v>
      </c>
      <c r="S878" s="51" t="str">
        <f t="shared" si="68"/>
        <v>Detractor</v>
      </c>
    </row>
    <row r="879" ht="14.25" customHeight="1" spans="1:19">
      <c r="A879" s="43" t="s">
        <v>921</v>
      </c>
      <c r="B879" s="43" t="s">
        <v>14</v>
      </c>
      <c r="C879" s="43" t="s">
        <v>20</v>
      </c>
      <c r="D879" s="44">
        <v>45933</v>
      </c>
      <c r="H879" s="45" t="str">
        <f t="shared" si="69"/>
        <v>Cancelled</v>
      </c>
      <c r="I879" s="48">
        <f t="shared" si="65"/>
        <v>0</v>
      </c>
      <c r="J879" s="48">
        <f t="shared" si="66"/>
        <v>0</v>
      </c>
      <c r="K879" s="48">
        <f t="shared" si="67"/>
        <v>0</v>
      </c>
      <c r="L879" s="39" t="s">
        <v>10</v>
      </c>
      <c r="M879" s="39" t="s">
        <v>79</v>
      </c>
      <c r="S879" s="51" t="str">
        <f t="shared" si="68"/>
        <v>Detractor</v>
      </c>
    </row>
    <row r="880" ht="14.25" customHeight="1" spans="1:19">
      <c r="A880" s="43" t="s">
        <v>922</v>
      </c>
      <c r="B880" s="43" t="s">
        <v>11</v>
      </c>
      <c r="C880" s="43" t="s">
        <v>22</v>
      </c>
      <c r="D880" s="44">
        <v>45957</v>
      </c>
      <c r="E880" s="44">
        <v>45959</v>
      </c>
      <c r="F880" s="44">
        <v>45961</v>
      </c>
      <c r="G880" s="44">
        <v>45966</v>
      </c>
      <c r="H880" s="45" t="str">
        <f t="shared" si="69"/>
        <v>Delivered</v>
      </c>
      <c r="I880" s="48">
        <f t="shared" si="65"/>
        <v>2</v>
      </c>
      <c r="J880" s="48">
        <f t="shared" si="66"/>
        <v>2</v>
      </c>
      <c r="K880" s="48">
        <f t="shared" si="67"/>
        <v>5</v>
      </c>
      <c r="L880" s="39" t="s">
        <v>9</v>
      </c>
      <c r="N880" s="44">
        <v>45985</v>
      </c>
      <c r="O880" s="39">
        <v>2</v>
      </c>
      <c r="P880" s="39">
        <v>2</v>
      </c>
      <c r="Q880" s="39">
        <v>5</v>
      </c>
      <c r="R880" s="39">
        <v>4</v>
      </c>
      <c r="S880" s="51" t="str">
        <f t="shared" si="68"/>
        <v>Detractor</v>
      </c>
    </row>
    <row r="881" ht="14.25" customHeight="1" spans="1:19">
      <c r="A881" s="43" t="s">
        <v>923</v>
      </c>
      <c r="B881" s="43" t="s">
        <v>13</v>
      </c>
      <c r="C881" s="43" t="s">
        <v>21</v>
      </c>
      <c r="D881" s="44">
        <v>45955</v>
      </c>
      <c r="E881" s="44">
        <v>45956</v>
      </c>
      <c r="F881" s="44">
        <v>45961</v>
      </c>
      <c r="G881" s="44">
        <v>45963</v>
      </c>
      <c r="H881" s="45" t="str">
        <f t="shared" si="69"/>
        <v>Delivered</v>
      </c>
      <c r="I881" s="48">
        <f t="shared" si="65"/>
        <v>1</v>
      </c>
      <c r="J881" s="48">
        <f t="shared" si="66"/>
        <v>5</v>
      </c>
      <c r="K881" s="48">
        <f t="shared" si="67"/>
        <v>2</v>
      </c>
      <c r="L881" s="39" t="s">
        <v>9</v>
      </c>
      <c r="N881" s="44">
        <v>45978</v>
      </c>
      <c r="O881" s="39">
        <v>1</v>
      </c>
      <c r="P881" s="39">
        <v>5</v>
      </c>
      <c r="Q881" s="39">
        <v>2</v>
      </c>
      <c r="R881" s="39">
        <v>4</v>
      </c>
      <c r="S881" s="51" t="str">
        <f t="shared" si="68"/>
        <v>Detractor</v>
      </c>
    </row>
    <row r="882" ht="14.25" customHeight="1" spans="1:19">
      <c r="A882" s="43" t="s">
        <v>924</v>
      </c>
      <c r="B882" s="43" t="s">
        <v>13</v>
      </c>
      <c r="C882" s="43" t="s">
        <v>22</v>
      </c>
      <c r="D882" s="44">
        <v>45948</v>
      </c>
      <c r="E882" s="44">
        <v>45949</v>
      </c>
      <c r="F882" s="44">
        <v>45950</v>
      </c>
      <c r="G882" s="44">
        <v>45953</v>
      </c>
      <c r="H882" s="45" t="str">
        <f t="shared" si="69"/>
        <v>Delivered</v>
      </c>
      <c r="I882" s="48">
        <f t="shared" si="65"/>
        <v>1</v>
      </c>
      <c r="J882" s="48">
        <f t="shared" si="66"/>
        <v>1</v>
      </c>
      <c r="K882" s="48">
        <f t="shared" si="67"/>
        <v>3</v>
      </c>
      <c r="L882" s="39" t="s">
        <v>9</v>
      </c>
      <c r="N882" s="44">
        <v>45964</v>
      </c>
      <c r="O882" s="39">
        <v>1</v>
      </c>
      <c r="P882" s="39">
        <v>1</v>
      </c>
      <c r="Q882" s="39">
        <v>3</v>
      </c>
      <c r="R882" s="39">
        <v>2</v>
      </c>
      <c r="S882" s="51" t="str">
        <f t="shared" si="68"/>
        <v>Detractor</v>
      </c>
    </row>
    <row r="883" ht="14.25" customHeight="1" spans="1:19">
      <c r="A883" s="43" t="s">
        <v>925</v>
      </c>
      <c r="B883" s="43" t="s">
        <v>11</v>
      </c>
      <c r="C883" s="43" t="s">
        <v>20</v>
      </c>
      <c r="D883" s="44">
        <v>45937</v>
      </c>
      <c r="H883" s="45" t="str">
        <f t="shared" si="69"/>
        <v>Cancelled</v>
      </c>
      <c r="I883" s="48">
        <f t="shared" si="65"/>
        <v>0</v>
      </c>
      <c r="J883" s="48">
        <f t="shared" si="66"/>
        <v>0</v>
      </c>
      <c r="K883" s="48">
        <f t="shared" si="67"/>
        <v>0</v>
      </c>
      <c r="L883" s="39" t="s">
        <v>10</v>
      </c>
      <c r="M883" s="39" t="s">
        <v>79</v>
      </c>
      <c r="S883" s="51" t="str">
        <f t="shared" si="68"/>
        <v>Detractor</v>
      </c>
    </row>
    <row r="884" ht="14.25" customHeight="1" spans="1:19">
      <c r="A884" s="43" t="s">
        <v>926</v>
      </c>
      <c r="B884" s="43" t="s">
        <v>14</v>
      </c>
      <c r="C884" s="43" t="s">
        <v>22</v>
      </c>
      <c r="D884" s="44">
        <v>45949</v>
      </c>
      <c r="E884" s="44">
        <v>45952</v>
      </c>
      <c r="F884" s="44">
        <v>45956</v>
      </c>
      <c r="G884" s="44">
        <v>45962</v>
      </c>
      <c r="H884" s="45" t="str">
        <f t="shared" si="69"/>
        <v>Delivered</v>
      </c>
      <c r="I884" s="48">
        <f t="shared" si="65"/>
        <v>3</v>
      </c>
      <c r="J884" s="48">
        <f t="shared" si="66"/>
        <v>4</v>
      </c>
      <c r="K884" s="48">
        <f t="shared" si="67"/>
        <v>6</v>
      </c>
      <c r="L884" s="39" t="s">
        <v>9</v>
      </c>
      <c r="N884" s="44">
        <v>45989</v>
      </c>
      <c r="O884" s="39">
        <v>3</v>
      </c>
      <c r="P884" s="39">
        <v>4</v>
      </c>
      <c r="Q884" s="39">
        <v>6</v>
      </c>
      <c r="R884" s="39">
        <v>4</v>
      </c>
      <c r="S884" s="51" t="str">
        <f t="shared" si="68"/>
        <v>Detractor</v>
      </c>
    </row>
    <row r="885" ht="14.25" customHeight="1" spans="1:19">
      <c r="A885" s="43" t="s">
        <v>927</v>
      </c>
      <c r="B885" s="43" t="s">
        <v>11</v>
      </c>
      <c r="C885" s="43" t="s">
        <v>20</v>
      </c>
      <c r="D885" s="44">
        <v>45937</v>
      </c>
      <c r="H885" s="45" t="str">
        <f t="shared" si="69"/>
        <v>Cancelled</v>
      </c>
      <c r="I885" s="48">
        <f t="shared" si="65"/>
        <v>0</v>
      </c>
      <c r="J885" s="48">
        <f t="shared" si="66"/>
        <v>0</v>
      </c>
      <c r="K885" s="48">
        <f t="shared" si="67"/>
        <v>0</v>
      </c>
      <c r="L885" s="39" t="s">
        <v>10</v>
      </c>
      <c r="M885" s="39" t="s">
        <v>44</v>
      </c>
      <c r="S885" s="51" t="str">
        <f t="shared" si="68"/>
        <v>Detractor</v>
      </c>
    </row>
    <row r="886" ht="14.25" customHeight="1" spans="1:19">
      <c r="A886" s="43" t="s">
        <v>928</v>
      </c>
      <c r="B886" s="43" t="s">
        <v>14</v>
      </c>
      <c r="C886" s="43" t="s">
        <v>21</v>
      </c>
      <c r="D886" s="44">
        <v>45957</v>
      </c>
      <c r="E886" s="44">
        <v>45961</v>
      </c>
      <c r="F886" s="44">
        <v>45963</v>
      </c>
      <c r="G886" s="44">
        <v>45968</v>
      </c>
      <c r="H886" s="45" t="str">
        <f t="shared" si="69"/>
        <v>Delivered</v>
      </c>
      <c r="I886" s="48">
        <f t="shared" si="65"/>
        <v>4</v>
      </c>
      <c r="J886" s="48">
        <f t="shared" si="66"/>
        <v>2</v>
      </c>
      <c r="K886" s="48">
        <f t="shared" si="67"/>
        <v>5</v>
      </c>
      <c r="L886" s="39" t="s">
        <v>9</v>
      </c>
      <c r="N886" s="44">
        <v>45993</v>
      </c>
      <c r="O886" s="39">
        <v>4</v>
      </c>
      <c r="P886" s="39">
        <v>2</v>
      </c>
      <c r="Q886" s="39">
        <v>5</v>
      </c>
      <c r="R886" s="39">
        <v>7</v>
      </c>
      <c r="S886" s="51" t="str">
        <f t="shared" si="68"/>
        <v>Passive</v>
      </c>
    </row>
    <row r="887" ht="14.25" customHeight="1" spans="1:19">
      <c r="A887" s="43" t="s">
        <v>929</v>
      </c>
      <c r="B887" s="43" t="s">
        <v>13</v>
      </c>
      <c r="C887" s="43" t="s">
        <v>21</v>
      </c>
      <c r="D887" s="44">
        <v>45958</v>
      </c>
      <c r="E887" s="44">
        <v>45963</v>
      </c>
      <c r="F887" s="44">
        <v>45967</v>
      </c>
      <c r="G887" s="44">
        <v>45974</v>
      </c>
      <c r="H887" s="45" t="str">
        <f t="shared" si="69"/>
        <v>Delivered</v>
      </c>
      <c r="I887" s="48">
        <f t="shared" si="65"/>
        <v>5</v>
      </c>
      <c r="J887" s="48">
        <f t="shared" si="66"/>
        <v>4</v>
      </c>
      <c r="K887" s="48">
        <f t="shared" si="67"/>
        <v>7</v>
      </c>
      <c r="L887" s="39" t="s">
        <v>9</v>
      </c>
      <c r="N887" s="44">
        <v>45990</v>
      </c>
      <c r="O887" s="39">
        <v>5</v>
      </c>
      <c r="P887" s="39">
        <v>4</v>
      </c>
      <c r="Q887" s="39">
        <v>7</v>
      </c>
      <c r="R887" s="39">
        <v>3</v>
      </c>
      <c r="S887" s="51" t="str">
        <f t="shared" si="68"/>
        <v>Detractor</v>
      </c>
    </row>
    <row r="888" ht="14.25" customHeight="1" spans="1:19">
      <c r="A888" s="43" t="s">
        <v>930</v>
      </c>
      <c r="B888" s="43" t="s">
        <v>14</v>
      </c>
      <c r="C888" s="43" t="s">
        <v>20</v>
      </c>
      <c r="D888" s="44">
        <v>45938</v>
      </c>
      <c r="H888" s="45" t="str">
        <f t="shared" si="69"/>
        <v>Cancelled</v>
      </c>
      <c r="I888" s="48">
        <f t="shared" si="65"/>
        <v>0</v>
      </c>
      <c r="J888" s="48">
        <f t="shared" si="66"/>
        <v>0</v>
      </c>
      <c r="K888" s="48">
        <f t="shared" si="67"/>
        <v>0</v>
      </c>
      <c r="L888" s="39" t="s">
        <v>10</v>
      </c>
      <c r="M888" s="39" t="s">
        <v>49</v>
      </c>
      <c r="S888" s="51" t="str">
        <f t="shared" si="68"/>
        <v>Detractor</v>
      </c>
    </row>
    <row r="889" ht="14.25" customHeight="1" spans="1:19">
      <c r="A889" s="43" t="s">
        <v>931</v>
      </c>
      <c r="B889" s="43" t="s">
        <v>12</v>
      </c>
      <c r="C889" s="43" t="s">
        <v>22</v>
      </c>
      <c r="D889" s="44">
        <v>45941</v>
      </c>
      <c r="E889" s="44">
        <v>45945</v>
      </c>
      <c r="F889" s="44">
        <v>45948</v>
      </c>
      <c r="G889" s="44">
        <v>45953</v>
      </c>
      <c r="H889" s="45" t="str">
        <f t="shared" si="69"/>
        <v>Delivered</v>
      </c>
      <c r="I889" s="48">
        <f t="shared" si="65"/>
        <v>4</v>
      </c>
      <c r="J889" s="48">
        <f t="shared" si="66"/>
        <v>3</v>
      </c>
      <c r="K889" s="48">
        <f t="shared" si="67"/>
        <v>5</v>
      </c>
      <c r="L889" s="39" t="s">
        <v>9</v>
      </c>
      <c r="N889" s="44">
        <v>45978</v>
      </c>
      <c r="O889" s="39">
        <v>4</v>
      </c>
      <c r="P889" s="39">
        <v>3</v>
      </c>
      <c r="Q889" s="39">
        <v>5</v>
      </c>
      <c r="R889" s="39">
        <v>7</v>
      </c>
      <c r="S889" s="51" t="str">
        <f t="shared" si="68"/>
        <v>Passive</v>
      </c>
    </row>
    <row r="890" ht="14.25" customHeight="1" spans="1:19">
      <c r="A890" s="43" t="s">
        <v>932</v>
      </c>
      <c r="B890" s="43" t="s">
        <v>13</v>
      </c>
      <c r="C890" s="43" t="s">
        <v>22</v>
      </c>
      <c r="D890" s="44">
        <v>45955</v>
      </c>
      <c r="E890" s="44">
        <v>45957</v>
      </c>
      <c r="F890" s="44">
        <v>45958</v>
      </c>
      <c r="G890" s="44">
        <v>45963</v>
      </c>
      <c r="H890" s="45" t="str">
        <f t="shared" si="69"/>
        <v>Delivered</v>
      </c>
      <c r="I890" s="48">
        <f t="shared" si="65"/>
        <v>2</v>
      </c>
      <c r="J890" s="48">
        <f t="shared" si="66"/>
        <v>1</v>
      </c>
      <c r="K890" s="48">
        <f t="shared" si="67"/>
        <v>5</v>
      </c>
      <c r="L890" s="39" t="s">
        <v>9</v>
      </c>
      <c r="N890" s="44">
        <v>45983</v>
      </c>
      <c r="O890" s="39">
        <v>2</v>
      </c>
      <c r="P890" s="39">
        <v>1</v>
      </c>
      <c r="Q890" s="39">
        <v>5</v>
      </c>
      <c r="R890" s="39">
        <v>9</v>
      </c>
      <c r="S890" s="51" t="str">
        <f t="shared" si="68"/>
        <v>Promoter</v>
      </c>
    </row>
    <row r="891" ht="14.25" customHeight="1" spans="1:19">
      <c r="A891" s="43" t="s">
        <v>933</v>
      </c>
      <c r="B891" s="43" t="s">
        <v>12</v>
      </c>
      <c r="C891" s="43" t="s">
        <v>22</v>
      </c>
      <c r="D891" s="44">
        <v>45935</v>
      </c>
      <c r="E891" s="44">
        <v>45937</v>
      </c>
      <c r="F891" s="44">
        <v>45941</v>
      </c>
      <c r="G891" s="44">
        <v>45943</v>
      </c>
      <c r="H891" s="45" t="str">
        <f t="shared" si="69"/>
        <v>Delivered</v>
      </c>
      <c r="I891" s="48">
        <f t="shared" si="65"/>
        <v>2</v>
      </c>
      <c r="J891" s="48">
        <f t="shared" si="66"/>
        <v>4</v>
      </c>
      <c r="K891" s="48">
        <f t="shared" si="67"/>
        <v>2</v>
      </c>
      <c r="L891" s="39" t="s">
        <v>9</v>
      </c>
      <c r="N891" s="44">
        <v>45960</v>
      </c>
      <c r="O891" s="39">
        <v>2</v>
      </c>
      <c r="P891" s="39">
        <v>4</v>
      </c>
      <c r="Q891" s="39">
        <v>2</v>
      </c>
      <c r="R891" s="39">
        <v>4</v>
      </c>
      <c r="S891" s="51" t="str">
        <f t="shared" si="68"/>
        <v>Detractor</v>
      </c>
    </row>
    <row r="892" ht="14.25" customHeight="1" spans="1:19">
      <c r="A892" s="43" t="s">
        <v>934</v>
      </c>
      <c r="B892" s="43" t="s">
        <v>11</v>
      </c>
      <c r="C892" s="43" t="s">
        <v>20</v>
      </c>
      <c r="D892" s="44">
        <v>45956</v>
      </c>
      <c r="H892" s="45" t="str">
        <f t="shared" si="69"/>
        <v>Cancelled</v>
      </c>
      <c r="I892" s="48">
        <f t="shared" si="65"/>
        <v>0</v>
      </c>
      <c r="J892" s="48">
        <f t="shared" si="66"/>
        <v>0</v>
      </c>
      <c r="K892" s="48">
        <f t="shared" si="67"/>
        <v>0</v>
      </c>
      <c r="L892" s="39" t="s">
        <v>10</v>
      </c>
      <c r="M892" s="39" t="s">
        <v>49</v>
      </c>
      <c r="S892" s="51" t="str">
        <f t="shared" si="68"/>
        <v>Detractor</v>
      </c>
    </row>
    <row r="893" ht="14.25" customHeight="1" spans="1:19">
      <c r="A893" s="43" t="s">
        <v>935</v>
      </c>
      <c r="B893" s="43" t="s">
        <v>11</v>
      </c>
      <c r="C893" s="43" t="s">
        <v>22</v>
      </c>
      <c r="D893" s="44">
        <v>45959</v>
      </c>
      <c r="E893" s="44">
        <v>45962</v>
      </c>
      <c r="F893" s="44">
        <v>45966</v>
      </c>
      <c r="G893" s="44">
        <v>45971</v>
      </c>
      <c r="H893" s="45" t="str">
        <f t="shared" si="69"/>
        <v>Delivered</v>
      </c>
      <c r="I893" s="48">
        <f t="shared" si="65"/>
        <v>3</v>
      </c>
      <c r="J893" s="48">
        <f t="shared" si="66"/>
        <v>4</v>
      </c>
      <c r="K893" s="48">
        <f t="shared" si="67"/>
        <v>5</v>
      </c>
      <c r="L893" s="39" t="s">
        <v>9</v>
      </c>
      <c r="N893" s="44">
        <v>45981</v>
      </c>
      <c r="O893" s="39">
        <v>3</v>
      </c>
      <c r="P893" s="39">
        <v>4</v>
      </c>
      <c r="Q893" s="39">
        <v>5</v>
      </c>
      <c r="R893" s="39">
        <v>7</v>
      </c>
      <c r="S893" s="51" t="str">
        <f t="shared" si="68"/>
        <v>Passive</v>
      </c>
    </row>
    <row r="894" ht="14.25" customHeight="1" spans="1:19">
      <c r="A894" s="43" t="s">
        <v>936</v>
      </c>
      <c r="B894" s="43" t="s">
        <v>11</v>
      </c>
      <c r="C894" s="43" t="s">
        <v>22</v>
      </c>
      <c r="D894" s="44">
        <v>45950</v>
      </c>
      <c r="E894" s="44">
        <v>45955</v>
      </c>
      <c r="F894" s="44">
        <v>45957</v>
      </c>
      <c r="G894" s="44">
        <v>45964</v>
      </c>
      <c r="H894" s="45" t="str">
        <f t="shared" si="69"/>
        <v>Delivered</v>
      </c>
      <c r="I894" s="48">
        <f t="shared" si="65"/>
        <v>5</v>
      </c>
      <c r="J894" s="48">
        <f t="shared" si="66"/>
        <v>2</v>
      </c>
      <c r="K894" s="48">
        <f t="shared" si="67"/>
        <v>7</v>
      </c>
      <c r="L894" s="39" t="s">
        <v>9</v>
      </c>
      <c r="N894" s="44">
        <v>45974</v>
      </c>
      <c r="O894" s="39">
        <v>5</v>
      </c>
      <c r="P894" s="39">
        <v>2</v>
      </c>
      <c r="Q894" s="39">
        <v>7</v>
      </c>
      <c r="R894" s="39">
        <v>7</v>
      </c>
      <c r="S894" s="51" t="str">
        <f t="shared" si="68"/>
        <v>Passive</v>
      </c>
    </row>
    <row r="895" ht="14.25" customHeight="1" spans="1:19">
      <c r="A895" s="43" t="s">
        <v>937</v>
      </c>
      <c r="B895" s="43" t="s">
        <v>14</v>
      </c>
      <c r="C895" s="43" t="s">
        <v>22</v>
      </c>
      <c r="D895" s="44">
        <v>45931</v>
      </c>
      <c r="E895" s="44">
        <v>45934</v>
      </c>
      <c r="F895" s="44">
        <v>45937</v>
      </c>
      <c r="G895" s="44">
        <v>45942</v>
      </c>
      <c r="H895" s="45" t="str">
        <f t="shared" si="69"/>
        <v>Delivered</v>
      </c>
      <c r="I895" s="48">
        <f t="shared" si="65"/>
        <v>3</v>
      </c>
      <c r="J895" s="48">
        <f t="shared" si="66"/>
        <v>3</v>
      </c>
      <c r="K895" s="48">
        <f t="shared" si="67"/>
        <v>5</v>
      </c>
      <c r="L895" s="39" t="s">
        <v>9</v>
      </c>
      <c r="N895" s="44">
        <v>45954</v>
      </c>
      <c r="O895" s="39">
        <v>3</v>
      </c>
      <c r="P895" s="39">
        <v>3</v>
      </c>
      <c r="Q895" s="39">
        <v>5</v>
      </c>
      <c r="R895" s="39">
        <v>7</v>
      </c>
      <c r="S895" s="51" t="str">
        <f t="shared" si="68"/>
        <v>Passive</v>
      </c>
    </row>
    <row r="896" ht="14.25" customHeight="1" spans="1:19">
      <c r="A896" s="43" t="s">
        <v>938</v>
      </c>
      <c r="B896" s="43" t="s">
        <v>13</v>
      </c>
      <c r="C896" s="43" t="s">
        <v>22</v>
      </c>
      <c r="D896" s="44">
        <v>45939</v>
      </c>
      <c r="E896" s="44">
        <v>45941</v>
      </c>
      <c r="F896" s="44">
        <v>45943</v>
      </c>
      <c r="G896" s="44">
        <v>45946</v>
      </c>
      <c r="H896" s="45" t="str">
        <f t="shared" si="69"/>
        <v>Delivered</v>
      </c>
      <c r="I896" s="48">
        <f t="shared" si="65"/>
        <v>2</v>
      </c>
      <c r="J896" s="48">
        <f t="shared" si="66"/>
        <v>2</v>
      </c>
      <c r="K896" s="48">
        <f t="shared" si="67"/>
        <v>3</v>
      </c>
      <c r="L896" s="39" t="s">
        <v>9</v>
      </c>
      <c r="N896" s="44">
        <v>45959</v>
      </c>
      <c r="O896" s="39">
        <v>2</v>
      </c>
      <c r="P896" s="39">
        <v>2</v>
      </c>
      <c r="Q896" s="39">
        <v>3</v>
      </c>
      <c r="R896" s="39">
        <v>1</v>
      </c>
      <c r="S896" s="51" t="str">
        <f t="shared" si="68"/>
        <v>Detractor</v>
      </c>
    </row>
    <row r="897" ht="14.25" customHeight="1" spans="1:19">
      <c r="A897" s="43" t="s">
        <v>939</v>
      </c>
      <c r="B897" s="43" t="s">
        <v>11</v>
      </c>
      <c r="C897" s="43" t="s">
        <v>22</v>
      </c>
      <c r="D897" s="44">
        <v>45958</v>
      </c>
      <c r="E897" s="44">
        <v>45960</v>
      </c>
      <c r="F897" s="44">
        <v>45963</v>
      </c>
      <c r="G897" s="44">
        <v>45967</v>
      </c>
      <c r="H897" s="45" t="str">
        <f t="shared" si="69"/>
        <v>Delivered</v>
      </c>
      <c r="I897" s="48">
        <f t="shared" si="65"/>
        <v>2</v>
      </c>
      <c r="J897" s="48">
        <f t="shared" si="66"/>
        <v>3</v>
      </c>
      <c r="K897" s="48">
        <f t="shared" si="67"/>
        <v>4</v>
      </c>
      <c r="L897" s="39" t="s">
        <v>10</v>
      </c>
      <c r="M897" s="39" t="s">
        <v>117</v>
      </c>
      <c r="O897" s="39">
        <v>2</v>
      </c>
      <c r="P897" s="39">
        <v>3</v>
      </c>
      <c r="Q897" s="39">
        <v>4</v>
      </c>
      <c r="S897" s="51" t="str">
        <f t="shared" si="68"/>
        <v>Detractor</v>
      </c>
    </row>
    <row r="898" ht="14.25" customHeight="1" spans="1:19">
      <c r="A898" s="43" t="s">
        <v>940</v>
      </c>
      <c r="B898" s="43" t="s">
        <v>11</v>
      </c>
      <c r="C898" s="43" t="s">
        <v>20</v>
      </c>
      <c r="D898" s="44">
        <v>45935</v>
      </c>
      <c r="H898" s="45" t="str">
        <f t="shared" si="69"/>
        <v>Cancelled</v>
      </c>
      <c r="I898" s="48">
        <f t="shared" si="65"/>
        <v>0</v>
      </c>
      <c r="J898" s="48">
        <f t="shared" si="66"/>
        <v>0</v>
      </c>
      <c r="K898" s="48">
        <f t="shared" si="67"/>
        <v>0</v>
      </c>
      <c r="L898" s="39" t="s">
        <v>10</v>
      </c>
      <c r="M898" s="39" t="s">
        <v>117</v>
      </c>
      <c r="S898" s="51" t="str">
        <f t="shared" si="68"/>
        <v>Detractor</v>
      </c>
    </row>
    <row r="899" ht="14.25" customHeight="1" spans="1:19">
      <c r="A899" s="43" t="s">
        <v>941</v>
      </c>
      <c r="B899" s="43" t="s">
        <v>13</v>
      </c>
      <c r="C899" s="43" t="s">
        <v>20</v>
      </c>
      <c r="D899" s="44">
        <v>45935</v>
      </c>
      <c r="H899" s="45" t="str">
        <f t="shared" si="69"/>
        <v>Cancelled</v>
      </c>
      <c r="I899" s="48">
        <f t="shared" ref="I899:I962" si="70">IF(E899&gt;D899,E899-D899,0)</f>
        <v>0</v>
      </c>
      <c r="J899" s="48">
        <f t="shared" ref="J899:J962" si="71">IF(F899&gt;E899,F899-E899,0)</f>
        <v>0</v>
      </c>
      <c r="K899" s="48">
        <f t="shared" ref="K899:K962" si="72">IF(G899&gt;F899,G899-F899,0)</f>
        <v>0</v>
      </c>
      <c r="L899" s="39" t="s">
        <v>10</v>
      </c>
      <c r="M899" s="39" t="s">
        <v>49</v>
      </c>
      <c r="S899" s="51" t="str">
        <f t="shared" ref="S899:S962" si="73">IF(R899&gt;=9,"Promoter",IF(R899&gt;=7,"Passive","Detractor"))</f>
        <v>Detractor</v>
      </c>
    </row>
    <row r="900" ht="14.25" customHeight="1" spans="1:19">
      <c r="A900" s="43" t="s">
        <v>942</v>
      </c>
      <c r="B900" s="43" t="s">
        <v>11</v>
      </c>
      <c r="C900" s="43" t="s">
        <v>20</v>
      </c>
      <c r="D900" s="44">
        <v>45948</v>
      </c>
      <c r="H900" s="45" t="str">
        <f t="shared" si="69"/>
        <v>Cancelled</v>
      </c>
      <c r="I900" s="48">
        <f t="shared" si="70"/>
        <v>0</v>
      </c>
      <c r="J900" s="48">
        <f t="shared" si="71"/>
        <v>0</v>
      </c>
      <c r="K900" s="48">
        <f t="shared" si="72"/>
        <v>0</v>
      </c>
      <c r="L900" s="39" t="s">
        <v>10</v>
      </c>
      <c r="M900" s="39" t="s">
        <v>42</v>
      </c>
      <c r="S900" s="51" t="str">
        <f t="shared" si="73"/>
        <v>Detractor</v>
      </c>
    </row>
    <row r="901" ht="14.25" customHeight="1" spans="1:19">
      <c r="A901" s="43" t="s">
        <v>943</v>
      </c>
      <c r="B901" s="43" t="s">
        <v>12</v>
      </c>
      <c r="C901" s="43" t="s">
        <v>21</v>
      </c>
      <c r="D901" s="44">
        <v>45939</v>
      </c>
      <c r="E901" s="44">
        <v>45943</v>
      </c>
      <c r="F901" s="44">
        <v>45945</v>
      </c>
      <c r="G901" s="44">
        <v>45948</v>
      </c>
      <c r="H901" s="45" t="str">
        <f t="shared" ref="H901:H964" si="74">IF(G901&lt;&gt;"","Delivered",IF(F901&lt;&gt;"","Booked",IF(E901&lt;&gt;"","Pre-Booked",IF(D901&lt;&gt;"","Cancelled",""))))</f>
        <v>Delivered</v>
      </c>
      <c r="I901" s="48">
        <f t="shared" si="70"/>
        <v>4</v>
      </c>
      <c r="J901" s="48">
        <f t="shared" si="71"/>
        <v>2</v>
      </c>
      <c r="K901" s="48">
        <f t="shared" si="72"/>
        <v>3</v>
      </c>
      <c r="L901" s="39" t="s">
        <v>9</v>
      </c>
      <c r="N901" s="44">
        <v>45976</v>
      </c>
      <c r="O901" s="39">
        <v>4</v>
      </c>
      <c r="P901" s="39">
        <v>2</v>
      </c>
      <c r="Q901" s="39">
        <v>3</v>
      </c>
      <c r="R901" s="39">
        <v>9</v>
      </c>
      <c r="S901" s="51" t="str">
        <f t="shared" si="73"/>
        <v>Promoter</v>
      </c>
    </row>
    <row r="902" ht="14.25" customHeight="1" spans="1:19">
      <c r="A902" s="43" t="s">
        <v>944</v>
      </c>
      <c r="B902" s="43" t="s">
        <v>13</v>
      </c>
      <c r="C902" s="43" t="s">
        <v>22</v>
      </c>
      <c r="D902" s="44">
        <v>45956</v>
      </c>
      <c r="E902" s="44">
        <v>45961</v>
      </c>
      <c r="F902" s="44">
        <v>45965</v>
      </c>
      <c r="G902" s="44">
        <v>45968</v>
      </c>
      <c r="H902" s="45" t="str">
        <f t="shared" si="74"/>
        <v>Delivered</v>
      </c>
      <c r="I902" s="48">
        <f t="shared" si="70"/>
        <v>5</v>
      </c>
      <c r="J902" s="48">
        <f t="shared" si="71"/>
        <v>4</v>
      </c>
      <c r="K902" s="48">
        <f t="shared" si="72"/>
        <v>3</v>
      </c>
      <c r="L902" s="39" t="s">
        <v>9</v>
      </c>
      <c r="N902" s="44">
        <v>45993</v>
      </c>
      <c r="O902" s="39">
        <v>5</v>
      </c>
      <c r="P902" s="39">
        <v>4</v>
      </c>
      <c r="Q902" s="39">
        <v>3</v>
      </c>
      <c r="R902" s="39">
        <v>10</v>
      </c>
      <c r="S902" s="51" t="str">
        <f t="shared" si="73"/>
        <v>Promoter</v>
      </c>
    </row>
    <row r="903" ht="14.25" customHeight="1" spans="1:19">
      <c r="A903" s="43" t="s">
        <v>945</v>
      </c>
      <c r="B903" s="43" t="s">
        <v>13</v>
      </c>
      <c r="C903" s="43" t="s">
        <v>22</v>
      </c>
      <c r="D903" s="44">
        <v>45936</v>
      </c>
      <c r="E903" s="44">
        <v>45940</v>
      </c>
      <c r="F903" s="44">
        <v>45944</v>
      </c>
      <c r="G903" s="44">
        <v>45948</v>
      </c>
      <c r="H903" s="45" t="str">
        <f t="shared" si="74"/>
        <v>Delivered</v>
      </c>
      <c r="I903" s="48">
        <f t="shared" si="70"/>
        <v>4</v>
      </c>
      <c r="J903" s="48">
        <f t="shared" si="71"/>
        <v>4</v>
      </c>
      <c r="K903" s="48">
        <f t="shared" si="72"/>
        <v>4</v>
      </c>
      <c r="L903" s="39" t="s">
        <v>9</v>
      </c>
      <c r="N903" s="44">
        <v>45962</v>
      </c>
      <c r="O903" s="39">
        <v>4</v>
      </c>
      <c r="P903" s="39">
        <v>4</v>
      </c>
      <c r="Q903" s="39">
        <v>4</v>
      </c>
      <c r="R903" s="39">
        <v>0</v>
      </c>
      <c r="S903" s="51" t="str">
        <f t="shared" si="73"/>
        <v>Detractor</v>
      </c>
    </row>
    <row r="904" ht="14.25" customHeight="1" spans="1:19">
      <c r="A904" s="43" t="s">
        <v>946</v>
      </c>
      <c r="B904" s="43" t="s">
        <v>13</v>
      </c>
      <c r="C904" s="43" t="s">
        <v>22</v>
      </c>
      <c r="D904" s="44">
        <v>45934</v>
      </c>
      <c r="E904" s="44">
        <v>45938</v>
      </c>
      <c r="F904" s="44">
        <v>45939</v>
      </c>
      <c r="G904" s="44">
        <v>45943</v>
      </c>
      <c r="H904" s="45" t="str">
        <f t="shared" si="74"/>
        <v>Delivered</v>
      </c>
      <c r="I904" s="48">
        <f t="shared" si="70"/>
        <v>4</v>
      </c>
      <c r="J904" s="48">
        <f t="shared" si="71"/>
        <v>1</v>
      </c>
      <c r="K904" s="48">
        <f t="shared" si="72"/>
        <v>4</v>
      </c>
      <c r="L904" s="39" t="s">
        <v>9</v>
      </c>
      <c r="N904" s="44">
        <v>45955</v>
      </c>
      <c r="O904" s="39">
        <v>4</v>
      </c>
      <c r="P904" s="39">
        <v>1</v>
      </c>
      <c r="Q904" s="39">
        <v>4</v>
      </c>
      <c r="R904" s="39">
        <v>5</v>
      </c>
      <c r="S904" s="51" t="str">
        <f t="shared" si="73"/>
        <v>Detractor</v>
      </c>
    </row>
    <row r="905" ht="14.25" customHeight="1" spans="1:19">
      <c r="A905" s="43" t="s">
        <v>947</v>
      </c>
      <c r="B905" s="43" t="s">
        <v>12</v>
      </c>
      <c r="C905" s="43" t="s">
        <v>22</v>
      </c>
      <c r="D905" s="44">
        <v>45952</v>
      </c>
      <c r="E905" s="44">
        <v>45955</v>
      </c>
      <c r="F905" s="44">
        <v>45959</v>
      </c>
      <c r="G905" s="44">
        <v>45964</v>
      </c>
      <c r="H905" s="45" t="str">
        <f t="shared" si="74"/>
        <v>Delivered</v>
      </c>
      <c r="I905" s="48">
        <f t="shared" si="70"/>
        <v>3</v>
      </c>
      <c r="J905" s="48">
        <f t="shared" si="71"/>
        <v>4</v>
      </c>
      <c r="K905" s="48">
        <f t="shared" si="72"/>
        <v>5</v>
      </c>
      <c r="L905" s="39" t="s">
        <v>9</v>
      </c>
      <c r="N905" s="44">
        <v>45990</v>
      </c>
      <c r="O905" s="39">
        <v>3</v>
      </c>
      <c r="P905" s="39">
        <v>4</v>
      </c>
      <c r="Q905" s="39">
        <v>5</v>
      </c>
      <c r="R905" s="39">
        <v>9</v>
      </c>
      <c r="S905" s="51" t="str">
        <f t="shared" si="73"/>
        <v>Promoter</v>
      </c>
    </row>
    <row r="906" ht="14.25" customHeight="1" spans="1:19">
      <c r="A906" s="43" t="s">
        <v>948</v>
      </c>
      <c r="B906" s="43" t="s">
        <v>13</v>
      </c>
      <c r="C906" s="43" t="s">
        <v>20</v>
      </c>
      <c r="D906" s="44">
        <v>45958</v>
      </c>
      <c r="H906" s="45" t="str">
        <f t="shared" si="74"/>
        <v>Cancelled</v>
      </c>
      <c r="I906" s="48">
        <f t="shared" si="70"/>
        <v>0</v>
      </c>
      <c r="J906" s="48">
        <f t="shared" si="71"/>
        <v>0</v>
      </c>
      <c r="K906" s="48">
        <f t="shared" si="72"/>
        <v>0</v>
      </c>
      <c r="L906" s="39" t="s">
        <v>10</v>
      </c>
      <c r="M906" s="39" t="s">
        <v>79</v>
      </c>
      <c r="S906" s="51" t="str">
        <f t="shared" si="73"/>
        <v>Detractor</v>
      </c>
    </row>
    <row r="907" ht="14.25" customHeight="1" spans="1:19">
      <c r="A907" s="43" t="s">
        <v>949</v>
      </c>
      <c r="B907" s="43" t="s">
        <v>12</v>
      </c>
      <c r="C907" s="43" t="s">
        <v>22</v>
      </c>
      <c r="D907" s="44">
        <v>45931</v>
      </c>
      <c r="E907" s="44">
        <v>45935</v>
      </c>
      <c r="F907" s="44">
        <v>45940</v>
      </c>
      <c r="G907" s="44">
        <v>45943</v>
      </c>
      <c r="H907" s="45" t="str">
        <f t="shared" si="74"/>
        <v>Delivered</v>
      </c>
      <c r="I907" s="48">
        <f t="shared" si="70"/>
        <v>4</v>
      </c>
      <c r="J907" s="48">
        <f t="shared" si="71"/>
        <v>5</v>
      </c>
      <c r="K907" s="48">
        <f t="shared" si="72"/>
        <v>3</v>
      </c>
      <c r="L907" s="39" t="s">
        <v>9</v>
      </c>
      <c r="N907" s="44">
        <v>45955</v>
      </c>
      <c r="O907" s="39">
        <v>4</v>
      </c>
      <c r="P907" s="39">
        <v>5</v>
      </c>
      <c r="Q907" s="39">
        <v>3</v>
      </c>
      <c r="R907" s="39">
        <v>7</v>
      </c>
      <c r="S907" s="51" t="str">
        <f t="shared" si="73"/>
        <v>Passive</v>
      </c>
    </row>
    <row r="908" ht="14.25" customHeight="1" spans="1:19">
      <c r="A908" s="43" t="s">
        <v>950</v>
      </c>
      <c r="B908" s="43" t="s">
        <v>13</v>
      </c>
      <c r="C908" s="43" t="s">
        <v>22</v>
      </c>
      <c r="D908" s="44">
        <v>45935</v>
      </c>
      <c r="E908" s="44">
        <v>45936</v>
      </c>
      <c r="F908" s="44">
        <v>45940</v>
      </c>
      <c r="G908" s="44">
        <v>45942</v>
      </c>
      <c r="H908" s="45" t="str">
        <f t="shared" si="74"/>
        <v>Delivered</v>
      </c>
      <c r="I908" s="48">
        <f t="shared" si="70"/>
        <v>1</v>
      </c>
      <c r="J908" s="48">
        <f t="shared" si="71"/>
        <v>4</v>
      </c>
      <c r="K908" s="48">
        <f t="shared" si="72"/>
        <v>2</v>
      </c>
      <c r="L908" s="39" t="s">
        <v>9</v>
      </c>
      <c r="N908" s="44">
        <v>45955</v>
      </c>
      <c r="O908" s="39">
        <v>1</v>
      </c>
      <c r="P908" s="39">
        <v>4</v>
      </c>
      <c r="Q908" s="39">
        <v>2</v>
      </c>
      <c r="R908" s="39">
        <v>4</v>
      </c>
      <c r="S908" s="51" t="str">
        <f t="shared" si="73"/>
        <v>Detractor</v>
      </c>
    </row>
    <row r="909" ht="14.25" customHeight="1" spans="1:19">
      <c r="A909" s="43" t="s">
        <v>951</v>
      </c>
      <c r="B909" s="43" t="s">
        <v>14</v>
      </c>
      <c r="C909" s="43" t="s">
        <v>21</v>
      </c>
      <c r="D909" s="44">
        <v>45931</v>
      </c>
      <c r="E909" s="44">
        <v>45932</v>
      </c>
      <c r="F909" s="44">
        <v>45937</v>
      </c>
      <c r="G909" s="44">
        <v>45943</v>
      </c>
      <c r="H909" s="45" t="str">
        <f t="shared" si="74"/>
        <v>Delivered</v>
      </c>
      <c r="I909" s="48">
        <f t="shared" si="70"/>
        <v>1</v>
      </c>
      <c r="J909" s="48">
        <f t="shared" si="71"/>
        <v>5</v>
      </c>
      <c r="K909" s="48">
        <f t="shared" si="72"/>
        <v>6</v>
      </c>
      <c r="L909" s="39" t="s">
        <v>9</v>
      </c>
      <c r="N909" s="44">
        <v>45961</v>
      </c>
      <c r="O909" s="39">
        <v>1</v>
      </c>
      <c r="P909" s="39">
        <v>5</v>
      </c>
      <c r="Q909" s="39">
        <v>6</v>
      </c>
      <c r="R909" s="39">
        <v>2</v>
      </c>
      <c r="S909" s="51" t="str">
        <f t="shared" si="73"/>
        <v>Detractor</v>
      </c>
    </row>
    <row r="910" ht="14.25" customHeight="1" spans="1:19">
      <c r="A910" s="43" t="s">
        <v>952</v>
      </c>
      <c r="B910" s="43" t="s">
        <v>11</v>
      </c>
      <c r="C910" s="43" t="s">
        <v>22</v>
      </c>
      <c r="D910" s="44">
        <v>45942</v>
      </c>
      <c r="E910" s="44">
        <v>45946</v>
      </c>
      <c r="F910" s="44">
        <v>45950</v>
      </c>
      <c r="G910" s="44">
        <v>45956</v>
      </c>
      <c r="H910" s="45" t="str">
        <f t="shared" si="74"/>
        <v>Delivered</v>
      </c>
      <c r="I910" s="48">
        <f t="shared" si="70"/>
        <v>4</v>
      </c>
      <c r="J910" s="48">
        <f t="shared" si="71"/>
        <v>4</v>
      </c>
      <c r="K910" s="48">
        <f t="shared" si="72"/>
        <v>6</v>
      </c>
      <c r="L910" s="39" t="s">
        <v>9</v>
      </c>
      <c r="N910" s="44">
        <v>45986</v>
      </c>
      <c r="O910" s="39">
        <v>4</v>
      </c>
      <c r="P910" s="39">
        <v>4</v>
      </c>
      <c r="Q910" s="39">
        <v>6</v>
      </c>
      <c r="R910" s="39">
        <v>8</v>
      </c>
      <c r="S910" s="51" t="str">
        <f t="shared" si="73"/>
        <v>Passive</v>
      </c>
    </row>
    <row r="911" ht="14.25" customHeight="1" spans="1:19">
      <c r="A911" s="43" t="s">
        <v>953</v>
      </c>
      <c r="B911" s="43" t="s">
        <v>14</v>
      </c>
      <c r="C911" s="43" t="s">
        <v>22</v>
      </c>
      <c r="D911" s="44">
        <v>45956</v>
      </c>
      <c r="E911" s="44">
        <v>45961</v>
      </c>
      <c r="F911" s="44">
        <v>45966</v>
      </c>
      <c r="G911" s="44">
        <v>45972</v>
      </c>
      <c r="H911" s="45" t="str">
        <f t="shared" si="74"/>
        <v>Delivered</v>
      </c>
      <c r="I911" s="48">
        <f t="shared" si="70"/>
        <v>5</v>
      </c>
      <c r="J911" s="48">
        <f t="shared" si="71"/>
        <v>5</v>
      </c>
      <c r="K911" s="48">
        <f t="shared" si="72"/>
        <v>6</v>
      </c>
      <c r="L911" s="39" t="s">
        <v>9</v>
      </c>
      <c r="N911" s="44">
        <v>45989</v>
      </c>
      <c r="O911" s="39">
        <v>5</v>
      </c>
      <c r="P911" s="39">
        <v>5</v>
      </c>
      <c r="Q911" s="39">
        <v>6</v>
      </c>
      <c r="R911" s="39">
        <v>2</v>
      </c>
      <c r="S911" s="51" t="str">
        <f t="shared" si="73"/>
        <v>Detractor</v>
      </c>
    </row>
    <row r="912" ht="14.25" customHeight="1" spans="1:19">
      <c r="A912" s="43" t="s">
        <v>954</v>
      </c>
      <c r="B912" s="43" t="s">
        <v>11</v>
      </c>
      <c r="C912" s="43" t="s">
        <v>22</v>
      </c>
      <c r="D912" s="44">
        <v>45956</v>
      </c>
      <c r="E912" s="44">
        <v>45960</v>
      </c>
      <c r="F912" s="44">
        <v>45965</v>
      </c>
      <c r="G912" s="44">
        <v>45968</v>
      </c>
      <c r="H912" s="45" t="str">
        <f t="shared" si="74"/>
        <v>Delivered</v>
      </c>
      <c r="I912" s="48">
        <f t="shared" si="70"/>
        <v>4</v>
      </c>
      <c r="J912" s="48">
        <f t="shared" si="71"/>
        <v>5</v>
      </c>
      <c r="K912" s="48">
        <f t="shared" si="72"/>
        <v>3</v>
      </c>
      <c r="L912" s="39" t="s">
        <v>9</v>
      </c>
      <c r="N912" s="44">
        <v>45992</v>
      </c>
      <c r="O912" s="39">
        <v>4</v>
      </c>
      <c r="P912" s="39">
        <v>5</v>
      </c>
      <c r="Q912" s="39">
        <v>3</v>
      </c>
      <c r="R912" s="39">
        <v>4</v>
      </c>
      <c r="S912" s="51" t="str">
        <f t="shared" si="73"/>
        <v>Detractor</v>
      </c>
    </row>
    <row r="913" ht="14.25" customHeight="1" spans="1:19">
      <c r="A913" s="43" t="s">
        <v>955</v>
      </c>
      <c r="B913" s="43" t="s">
        <v>12</v>
      </c>
      <c r="C913" s="43" t="s">
        <v>21</v>
      </c>
      <c r="D913" s="44">
        <v>45938</v>
      </c>
      <c r="E913" s="44">
        <v>45940</v>
      </c>
      <c r="F913" s="44">
        <v>45944</v>
      </c>
      <c r="G913" s="44">
        <v>45951</v>
      </c>
      <c r="H913" s="45" t="str">
        <f t="shared" si="74"/>
        <v>Delivered</v>
      </c>
      <c r="I913" s="48">
        <f t="shared" si="70"/>
        <v>2</v>
      </c>
      <c r="J913" s="48">
        <f t="shared" si="71"/>
        <v>4</v>
      </c>
      <c r="K913" s="48">
        <f t="shared" si="72"/>
        <v>7</v>
      </c>
      <c r="L913" s="39" t="s">
        <v>9</v>
      </c>
      <c r="N913" s="44">
        <v>45970</v>
      </c>
      <c r="O913" s="39">
        <v>2</v>
      </c>
      <c r="P913" s="39">
        <v>4</v>
      </c>
      <c r="Q913" s="39">
        <v>7</v>
      </c>
      <c r="R913" s="39">
        <v>1</v>
      </c>
      <c r="S913" s="51" t="str">
        <f t="shared" si="73"/>
        <v>Detractor</v>
      </c>
    </row>
    <row r="914" ht="14.25" customHeight="1" spans="1:19">
      <c r="A914" s="43" t="s">
        <v>956</v>
      </c>
      <c r="B914" s="43" t="s">
        <v>14</v>
      </c>
      <c r="C914" s="43" t="s">
        <v>21</v>
      </c>
      <c r="D914" s="44">
        <v>45949</v>
      </c>
      <c r="E914" s="44">
        <v>45951</v>
      </c>
      <c r="F914" s="44">
        <v>45956</v>
      </c>
      <c r="G914" s="44">
        <v>45960</v>
      </c>
      <c r="H914" s="45" t="str">
        <f t="shared" si="74"/>
        <v>Delivered</v>
      </c>
      <c r="I914" s="48">
        <f t="shared" si="70"/>
        <v>2</v>
      </c>
      <c r="J914" s="48">
        <f t="shared" si="71"/>
        <v>5</v>
      </c>
      <c r="K914" s="48">
        <f t="shared" si="72"/>
        <v>4</v>
      </c>
      <c r="L914" s="39" t="s">
        <v>9</v>
      </c>
      <c r="N914" s="44">
        <v>45978</v>
      </c>
      <c r="O914" s="39">
        <v>2</v>
      </c>
      <c r="P914" s="39">
        <v>5</v>
      </c>
      <c r="Q914" s="39">
        <v>4</v>
      </c>
      <c r="R914" s="39">
        <v>8</v>
      </c>
      <c r="S914" s="51" t="str">
        <f t="shared" si="73"/>
        <v>Passive</v>
      </c>
    </row>
    <row r="915" ht="14.25" customHeight="1" spans="1:19">
      <c r="A915" s="43" t="s">
        <v>957</v>
      </c>
      <c r="B915" s="43" t="s">
        <v>13</v>
      </c>
      <c r="C915" s="43" t="s">
        <v>22</v>
      </c>
      <c r="D915" s="44">
        <v>45941</v>
      </c>
      <c r="E915" s="44">
        <v>45946</v>
      </c>
      <c r="F915" s="44">
        <v>45947</v>
      </c>
      <c r="G915" s="44">
        <v>45952</v>
      </c>
      <c r="H915" s="45" t="str">
        <f t="shared" si="74"/>
        <v>Delivered</v>
      </c>
      <c r="I915" s="48">
        <f t="shared" si="70"/>
        <v>5</v>
      </c>
      <c r="J915" s="48">
        <f t="shared" si="71"/>
        <v>1</v>
      </c>
      <c r="K915" s="48">
        <f t="shared" si="72"/>
        <v>5</v>
      </c>
      <c r="L915" s="39" t="s">
        <v>9</v>
      </c>
      <c r="N915" s="44">
        <v>45976</v>
      </c>
      <c r="O915" s="39">
        <v>5</v>
      </c>
      <c r="P915" s="39">
        <v>1</v>
      </c>
      <c r="Q915" s="39">
        <v>5</v>
      </c>
      <c r="R915" s="39">
        <v>9</v>
      </c>
      <c r="S915" s="51" t="str">
        <f t="shared" si="73"/>
        <v>Promoter</v>
      </c>
    </row>
    <row r="916" ht="14.25" customHeight="1" spans="1:19">
      <c r="A916" s="43" t="s">
        <v>958</v>
      </c>
      <c r="B916" s="43" t="s">
        <v>11</v>
      </c>
      <c r="C916" s="43" t="s">
        <v>21</v>
      </c>
      <c r="D916" s="44">
        <v>45931</v>
      </c>
      <c r="E916" s="44">
        <v>45934</v>
      </c>
      <c r="F916" s="44">
        <v>45937</v>
      </c>
      <c r="G916" s="44">
        <v>45942</v>
      </c>
      <c r="H916" s="45" t="str">
        <f t="shared" si="74"/>
        <v>Delivered</v>
      </c>
      <c r="I916" s="48">
        <f t="shared" si="70"/>
        <v>3</v>
      </c>
      <c r="J916" s="48">
        <f t="shared" si="71"/>
        <v>3</v>
      </c>
      <c r="K916" s="48">
        <f t="shared" si="72"/>
        <v>5</v>
      </c>
      <c r="L916" s="39" t="s">
        <v>9</v>
      </c>
      <c r="N916" s="44">
        <v>45953</v>
      </c>
      <c r="O916" s="39">
        <v>3</v>
      </c>
      <c r="P916" s="39">
        <v>3</v>
      </c>
      <c r="Q916" s="39">
        <v>5</v>
      </c>
      <c r="R916" s="39">
        <v>4</v>
      </c>
      <c r="S916" s="51" t="str">
        <f t="shared" si="73"/>
        <v>Detractor</v>
      </c>
    </row>
    <row r="917" ht="14.25" customHeight="1" spans="1:19">
      <c r="A917" s="43" t="s">
        <v>959</v>
      </c>
      <c r="B917" s="43" t="s">
        <v>11</v>
      </c>
      <c r="C917" s="43" t="s">
        <v>21</v>
      </c>
      <c r="D917" s="44">
        <v>45936</v>
      </c>
      <c r="E917" s="44">
        <v>45937</v>
      </c>
      <c r="F917" s="44">
        <v>45942</v>
      </c>
      <c r="G917" s="44">
        <v>45948</v>
      </c>
      <c r="H917" s="45" t="str">
        <f t="shared" si="74"/>
        <v>Delivered</v>
      </c>
      <c r="I917" s="48">
        <f t="shared" si="70"/>
        <v>1</v>
      </c>
      <c r="J917" s="48">
        <f t="shared" si="71"/>
        <v>5</v>
      </c>
      <c r="K917" s="48">
        <f t="shared" si="72"/>
        <v>6</v>
      </c>
      <c r="L917" s="39" t="s">
        <v>9</v>
      </c>
      <c r="N917" s="44">
        <v>45961</v>
      </c>
      <c r="O917" s="39">
        <v>1</v>
      </c>
      <c r="P917" s="39">
        <v>5</v>
      </c>
      <c r="Q917" s="39">
        <v>6</v>
      </c>
      <c r="R917" s="39">
        <v>1</v>
      </c>
      <c r="S917" s="51" t="str">
        <f t="shared" si="73"/>
        <v>Detractor</v>
      </c>
    </row>
    <row r="918" ht="14.25" customHeight="1" spans="1:19">
      <c r="A918" s="43" t="s">
        <v>960</v>
      </c>
      <c r="B918" s="43" t="s">
        <v>14</v>
      </c>
      <c r="C918" s="43" t="s">
        <v>21</v>
      </c>
      <c r="D918" s="44">
        <v>45939</v>
      </c>
      <c r="E918" s="44">
        <v>45940</v>
      </c>
      <c r="F918" s="44">
        <v>45945</v>
      </c>
      <c r="G918" s="44">
        <v>45950</v>
      </c>
      <c r="H918" s="45" t="str">
        <f t="shared" si="74"/>
        <v>Delivered</v>
      </c>
      <c r="I918" s="48">
        <f t="shared" si="70"/>
        <v>1</v>
      </c>
      <c r="J918" s="48">
        <f t="shared" si="71"/>
        <v>5</v>
      </c>
      <c r="K918" s="48">
        <f t="shared" si="72"/>
        <v>5</v>
      </c>
      <c r="L918" s="39" t="s">
        <v>9</v>
      </c>
      <c r="N918" s="44">
        <v>45965</v>
      </c>
      <c r="O918" s="39">
        <v>1</v>
      </c>
      <c r="P918" s="39">
        <v>5</v>
      </c>
      <c r="Q918" s="39">
        <v>5</v>
      </c>
      <c r="R918" s="39">
        <v>6</v>
      </c>
      <c r="S918" s="51" t="str">
        <f t="shared" si="73"/>
        <v>Detractor</v>
      </c>
    </row>
    <row r="919" ht="14.25" customHeight="1" spans="1:19">
      <c r="A919" s="43" t="s">
        <v>961</v>
      </c>
      <c r="B919" s="43" t="s">
        <v>12</v>
      </c>
      <c r="C919" s="43" t="s">
        <v>21</v>
      </c>
      <c r="D919" s="44">
        <v>45932</v>
      </c>
      <c r="E919" s="44">
        <v>45935</v>
      </c>
      <c r="F919" s="44">
        <v>45936</v>
      </c>
      <c r="G919" s="44">
        <v>45938</v>
      </c>
      <c r="H919" s="45" t="str">
        <f t="shared" si="74"/>
        <v>Delivered</v>
      </c>
      <c r="I919" s="48">
        <f t="shared" si="70"/>
        <v>3</v>
      </c>
      <c r="J919" s="48">
        <f t="shared" si="71"/>
        <v>1</v>
      </c>
      <c r="K919" s="48">
        <f t="shared" si="72"/>
        <v>2</v>
      </c>
      <c r="L919" s="39" t="s">
        <v>9</v>
      </c>
      <c r="N919" s="44">
        <v>45949</v>
      </c>
      <c r="O919" s="39">
        <v>3</v>
      </c>
      <c r="P919" s="39">
        <v>1</v>
      </c>
      <c r="Q919" s="39">
        <v>2</v>
      </c>
      <c r="R919" s="39">
        <v>8</v>
      </c>
      <c r="S919" s="51" t="str">
        <f t="shared" si="73"/>
        <v>Passive</v>
      </c>
    </row>
    <row r="920" ht="14.25" customHeight="1" spans="1:19">
      <c r="A920" s="43" t="s">
        <v>962</v>
      </c>
      <c r="B920" s="43" t="s">
        <v>14</v>
      </c>
      <c r="C920" s="43" t="s">
        <v>21</v>
      </c>
      <c r="D920" s="44">
        <v>45935</v>
      </c>
      <c r="E920" s="44">
        <v>45939</v>
      </c>
      <c r="F920" s="44">
        <v>45940</v>
      </c>
      <c r="G920" s="44">
        <v>45942</v>
      </c>
      <c r="H920" s="45" t="str">
        <f t="shared" si="74"/>
        <v>Delivered</v>
      </c>
      <c r="I920" s="48">
        <f t="shared" si="70"/>
        <v>4</v>
      </c>
      <c r="J920" s="48">
        <f t="shared" si="71"/>
        <v>1</v>
      </c>
      <c r="K920" s="48">
        <f t="shared" si="72"/>
        <v>2</v>
      </c>
      <c r="L920" s="39" t="s">
        <v>9</v>
      </c>
      <c r="N920" s="44">
        <v>45961</v>
      </c>
      <c r="O920" s="39">
        <v>4</v>
      </c>
      <c r="P920" s="39">
        <v>1</v>
      </c>
      <c r="Q920" s="39">
        <v>2</v>
      </c>
      <c r="R920" s="39">
        <v>1</v>
      </c>
      <c r="S920" s="51" t="str">
        <f t="shared" si="73"/>
        <v>Detractor</v>
      </c>
    </row>
    <row r="921" ht="14.25" customHeight="1" spans="1:19">
      <c r="A921" s="43" t="s">
        <v>963</v>
      </c>
      <c r="B921" s="43" t="s">
        <v>12</v>
      </c>
      <c r="C921" s="43" t="s">
        <v>22</v>
      </c>
      <c r="D921" s="44">
        <v>45954</v>
      </c>
      <c r="E921" s="44">
        <v>45959</v>
      </c>
      <c r="F921" s="44">
        <v>45961</v>
      </c>
      <c r="G921" s="44">
        <v>45965</v>
      </c>
      <c r="H921" s="45" t="str">
        <f t="shared" si="74"/>
        <v>Delivered</v>
      </c>
      <c r="I921" s="48">
        <f t="shared" si="70"/>
        <v>5</v>
      </c>
      <c r="J921" s="48">
        <f t="shared" si="71"/>
        <v>2</v>
      </c>
      <c r="K921" s="48">
        <f t="shared" si="72"/>
        <v>4</v>
      </c>
      <c r="L921" s="39" t="s">
        <v>9</v>
      </c>
      <c r="N921" s="44">
        <v>45986</v>
      </c>
      <c r="O921" s="39">
        <v>5</v>
      </c>
      <c r="P921" s="39">
        <v>2</v>
      </c>
      <c r="Q921" s="39">
        <v>4</v>
      </c>
      <c r="R921" s="39">
        <v>6</v>
      </c>
      <c r="S921" s="51" t="str">
        <f t="shared" si="73"/>
        <v>Detractor</v>
      </c>
    </row>
    <row r="922" ht="14.25" customHeight="1" spans="1:19">
      <c r="A922" s="43" t="s">
        <v>964</v>
      </c>
      <c r="B922" s="43" t="s">
        <v>12</v>
      </c>
      <c r="C922" s="43" t="s">
        <v>22</v>
      </c>
      <c r="D922" s="44">
        <v>45944</v>
      </c>
      <c r="E922" s="44">
        <v>45948</v>
      </c>
      <c r="F922" s="44">
        <v>45951</v>
      </c>
      <c r="G922" s="44">
        <v>45956</v>
      </c>
      <c r="H922" s="45" t="str">
        <f t="shared" si="74"/>
        <v>Delivered</v>
      </c>
      <c r="I922" s="48">
        <f t="shared" si="70"/>
        <v>4</v>
      </c>
      <c r="J922" s="48">
        <f t="shared" si="71"/>
        <v>3</v>
      </c>
      <c r="K922" s="48">
        <f t="shared" si="72"/>
        <v>5</v>
      </c>
      <c r="L922" s="39" t="s">
        <v>9</v>
      </c>
      <c r="N922" s="44">
        <v>45976</v>
      </c>
      <c r="O922" s="39">
        <v>4</v>
      </c>
      <c r="P922" s="39">
        <v>3</v>
      </c>
      <c r="Q922" s="39">
        <v>5</v>
      </c>
      <c r="R922" s="39">
        <v>0</v>
      </c>
      <c r="S922" s="51" t="str">
        <f t="shared" si="73"/>
        <v>Detractor</v>
      </c>
    </row>
    <row r="923" ht="14.25" customHeight="1" spans="1:19">
      <c r="A923" s="43" t="s">
        <v>965</v>
      </c>
      <c r="B923" s="43" t="s">
        <v>11</v>
      </c>
      <c r="C923" s="43" t="s">
        <v>20</v>
      </c>
      <c r="D923" s="44">
        <v>45947</v>
      </c>
      <c r="H923" s="45" t="str">
        <f t="shared" si="74"/>
        <v>Cancelled</v>
      </c>
      <c r="I923" s="48">
        <f t="shared" si="70"/>
        <v>0</v>
      </c>
      <c r="J923" s="48">
        <f t="shared" si="71"/>
        <v>0</v>
      </c>
      <c r="K923" s="48">
        <f t="shared" si="72"/>
        <v>0</v>
      </c>
      <c r="L923" s="39" t="s">
        <v>10</v>
      </c>
      <c r="M923" s="39" t="s">
        <v>42</v>
      </c>
      <c r="S923" s="51" t="str">
        <f t="shared" si="73"/>
        <v>Detractor</v>
      </c>
    </row>
    <row r="924" ht="14.25" customHeight="1" spans="1:19">
      <c r="A924" s="43" t="s">
        <v>966</v>
      </c>
      <c r="B924" s="43" t="s">
        <v>14</v>
      </c>
      <c r="C924" s="43" t="s">
        <v>22</v>
      </c>
      <c r="D924" s="44">
        <v>45934</v>
      </c>
      <c r="E924" s="44">
        <v>45937</v>
      </c>
      <c r="F924" s="44">
        <v>45939</v>
      </c>
      <c r="G924" s="44">
        <v>45942</v>
      </c>
      <c r="H924" s="45" t="str">
        <f t="shared" si="74"/>
        <v>Delivered</v>
      </c>
      <c r="I924" s="48">
        <f t="shared" si="70"/>
        <v>3</v>
      </c>
      <c r="J924" s="48">
        <f t="shared" si="71"/>
        <v>2</v>
      </c>
      <c r="K924" s="48">
        <f t="shared" si="72"/>
        <v>3</v>
      </c>
      <c r="L924" s="39" t="s">
        <v>9</v>
      </c>
      <c r="N924" s="44">
        <v>45965</v>
      </c>
      <c r="O924" s="39">
        <v>3</v>
      </c>
      <c r="P924" s="39">
        <v>2</v>
      </c>
      <c r="Q924" s="39">
        <v>3</v>
      </c>
      <c r="R924" s="39">
        <v>6</v>
      </c>
      <c r="S924" s="51" t="str">
        <f t="shared" si="73"/>
        <v>Detractor</v>
      </c>
    </row>
    <row r="925" ht="14.25" customHeight="1" spans="1:19">
      <c r="A925" s="43" t="s">
        <v>967</v>
      </c>
      <c r="B925" s="43" t="s">
        <v>14</v>
      </c>
      <c r="C925" s="43" t="s">
        <v>22</v>
      </c>
      <c r="D925" s="44">
        <v>45954</v>
      </c>
      <c r="E925" s="44">
        <v>45959</v>
      </c>
      <c r="F925" s="44">
        <v>45964</v>
      </c>
      <c r="G925" s="44">
        <v>45969</v>
      </c>
      <c r="H925" s="45" t="str">
        <f t="shared" si="74"/>
        <v>Delivered</v>
      </c>
      <c r="I925" s="48">
        <f t="shared" si="70"/>
        <v>5</v>
      </c>
      <c r="J925" s="48">
        <f t="shared" si="71"/>
        <v>5</v>
      </c>
      <c r="K925" s="48">
        <f t="shared" si="72"/>
        <v>5</v>
      </c>
      <c r="L925" s="39" t="s">
        <v>9</v>
      </c>
      <c r="N925" s="44">
        <v>45982</v>
      </c>
      <c r="O925" s="39">
        <v>5</v>
      </c>
      <c r="P925" s="39">
        <v>5</v>
      </c>
      <c r="Q925" s="39">
        <v>5</v>
      </c>
      <c r="R925" s="39">
        <v>6</v>
      </c>
      <c r="S925" s="51" t="str">
        <f t="shared" si="73"/>
        <v>Detractor</v>
      </c>
    </row>
    <row r="926" ht="14.25" customHeight="1" spans="1:19">
      <c r="A926" s="43" t="s">
        <v>968</v>
      </c>
      <c r="B926" s="43" t="s">
        <v>12</v>
      </c>
      <c r="C926" s="43" t="s">
        <v>21</v>
      </c>
      <c r="D926" s="44">
        <v>45933</v>
      </c>
      <c r="E926" s="44">
        <v>45934</v>
      </c>
      <c r="F926" s="44">
        <v>45935</v>
      </c>
      <c r="G926" s="44">
        <v>45938</v>
      </c>
      <c r="H926" s="45" t="str">
        <f t="shared" si="74"/>
        <v>Delivered</v>
      </c>
      <c r="I926" s="48">
        <f t="shared" si="70"/>
        <v>1</v>
      </c>
      <c r="J926" s="48">
        <f t="shared" si="71"/>
        <v>1</v>
      </c>
      <c r="K926" s="48">
        <f t="shared" si="72"/>
        <v>3</v>
      </c>
      <c r="L926" s="39" t="s">
        <v>9</v>
      </c>
      <c r="N926" s="44">
        <v>45951</v>
      </c>
      <c r="O926" s="39">
        <v>1</v>
      </c>
      <c r="P926" s="39">
        <v>1</v>
      </c>
      <c r="Q926" s="39">
        <v>3</v>
      </c>
      <c r="R926" s="39">
        <v>6</v>
      </c>
      <c r="S926" s="51" t="str">
        <f t="shared" si="73"/>
        <v>Detractor</v>
      </c>
    </row>
    <row r="927" ht="14.25" customHeight="1" spans="1:19">
      <c r="A927" s="43" t="s">
        <v>969</v>
      </c>
      <c r="B927" s="43" t="s">
        <v>14</v>
      </c>
      <c r="C927" s="43" t="s">
        <v>21</v>
      </c>
      <c r="D927" s="44">
        <v>45946</v>
      </c>
      <c r="E927" s="44">
        <v>45947</v>
      </c>
      <c r="F927" s="44">
        <v>45952</v>
      </c>
      <c r="G927" s="44">
        <v>45959</v>
      </c>
      <c r="H927" s="45" t="str">
        <f t="shared" si="74"/>
        <v>Delivered</v>
      </c>
      <c r="I927" s="48">
        <f t="shared" si="70"/>
        <v>1</v>
      </c>
      <c r="J927" s="48">
        <f t="shared" si="71"/>
        <v>5</v>
      </c>
      <c r="K927" s="48">
        <f t="shared" si="72"/>
        <v>7</v>
      </c>
      <c r="L927" s="39" t="s">
        <v>9</v>
      </c>
      <c r="N927" s="44">
        <v>45970</v>
      </c>
      <c r="O927" s="39">
        <v>1</v>
      </c>
      <c r="P927" s="39">
        <v>5</v>
      </c>
      <c r="Q927" s="39">
        <v>7</v>
      </c>
      <c r="R927" s="39">
        <v>2</v>
      </c>
      <c r="S927" s="51" t="str">
        <f t="shared" si="73"/>
        <v>Detractor</v>
      </c>
    </row>
    <row r="928" ht="14.25" customHeight="1" spans="1:19">
      <c r="A928" s="43" t="s">
        <v>970</v>
      </c>
      <c r="B928" s="43" t="s">
        <v>13</v>
      </c>
      <c r="C928" s="43" t="s">
        <v>22</v>
      </c>
      <c r="D928" s="44">
        <v>45945</v>
      </c>
      <c r="E928" s="44">
        <v>45949</v>
      </c>
      <c r="F928" s="44">
        <v>45953</v>
      </c>
      <c r="G928" s="44">
        <v>45959</v>
      </c>
      <c r="H928" s="45" t="str">
        <f t="shared" si="74"/>
        <v>Delivered</v>
      </c>
      <c r="I928" s="48">
        <f t="shared" si="70"/>
        <v>4</v>
      </c>
      <c r="J928" s="48">
        <f t="shared" si="71"/>
        <v>4</v>
      </c>
      <c r="K928" s="48">
        <f t="shared" si="72"/>
        <v>6</v>
      </c>
      <c r="L928" s="39" t="s">
        <v>9</v>
      </c>
      <c r="N928" s="44">
        <v>45969</v>
      </c>
      <c r="O928" s="39">
        <v>4</v>
      </c>
      <c r="P928" s="39">
        <v>4</v>
      </c>
      <c r="Q928" s="39">
        <v>6</v>
      </c>
      <c r="R928" s="39">
        <v>7</v>
      </c>
      <c r="S928" s="51" t="str">
        <f t="shared" si="73"/>
        <v>Passive</v>
      </c>
    </row>
    <row r="929" ht="14.25" customHeight="1" spans="1:19">
      <c r="A929" s="43" t="s">
        <v>971</v>
      </c>
      <c r="B929" s="43" t="s">
        <v>13</v>
      </c>
      <c r="C929" s="43" t="s">
        <v>21</v>
      </c>
      <c r="D929" s="44">
        <v>45955</v>
      </c>
      <c r="E929" s="44">
        <v>45957</v>
      </c>
      <c r="F929" s="44">
        <v>45960</v>
      </c>
      <c r="G929" s="44">
        <v>45963</v>
      </c>
      <c r="H929" s="45" t="str">
        <f t="shared" si="74"/>
        <v>Delivered</v>
      </c>
      <c r="I929" s="48">
        <f t="shared" si="70"/>
        <v>2</v>
      </c>
      <c r="J929" s="48">
        <f t="shared" si="71"/>
        <v>3</v>
      </c>
      <c r="K929" s="48">
        <f t="shared" si="72"/>
        <v>3</v>
      </c>
      <c r="L929" s="39" t="s">
        <v>10</v>
      </c>
      <c r="M929" s="39" t="s">
        <v>79</v>
      </c>
      <c r="O929" s="39">
        <v>2</v>
      </c>
      <c r="P929" s="39">
        <v>3</v>
      </c>
      <c r="Q929" s="39">
        <v>3</v>
      </c>
      <c r="S929" s="51" t="str">
        <f t="shared" si="73"/>
        <v>Detractor</v>
      </c>
    </row>
    <row r="930" ht="14.25" customHeight="1" spans="1:19">
      <c r="A930" s="43" t="s">
        <v>972</v>
      </c>
      <c r="B930" s="43" t="s">
        <v>14</v>
      </c>
      <c r="C930" s="43" t="s">
        <v>22</v>
      </c>
      <c r="D930" s="44">
        <v>45942</v>
      </c>
      <c r="E930" s="44">
        <v>45945</v>
      </c>
      <c r="F930" s="44">
        <v>45949</v>
      </c>
      <c r="G930" s="44">
        <v>45956</v>
      </c>
      <c r="H930" s="45" t="str">
        <f t="shared" si="74"/>
        <v>Delivered</v>
      </c>
      <c r="I930" s="48">
        <f t="shared" si="70"/>
        <v>3</v>
      </c>
      <c r="J930" s="48">
        <f t="shared" si="71"/>
        <v>4</v>
      </c>
      <c r="K930" s="48">
        <f t="shared" si="72"/>
        <v>7</v>
      </c>
      <c r="L930" s="39" t="s">
        <v>9</v>
      </c>
      <c r="N930" s="44">
        <v>45970</v>
      </c>
      <c r="O930" s="39">
        <v>3</v>
      </c>
      <c r="P930" s="39">
        <v>4</v>
      </c>
      <c r="Q930" s="39">
        <v>7</v>
      </c>
      <c r="R930" s="39">
        <v>8</v>
      </c>
      <c r="S930" s="51" t="str">
        <f t="shared" si="73"/>
        <v>Passive</v>
      </c>
    </row>
    <row r="931" ht="14.25" customHeight="1" spans="1:19">
      <c r="A931" s="43" t="s">
        <v>973</v>
      </c>
      <c r="B931" s="43" t="s">
        <v>14</v>
      </c>
      <c r="C931" s="43" t="s">
        <v>22</v>
      </c>
      <c r="D931" s="44">
        <v>45947</v>
      </c>
      <c r="E931" s="44">
        <v>45950</v>
      </c>
      <c r="F931" s="44">
        <v>45951</v>
      </c>
      <c r="G931" s="44">
        <v>45957</v>
      </c>
      <c r="H931" s="45" t="str">
        <f t="shared" si="74"/>
        <v>Delivered</v>
      </c>
      <c r="I931" s="48">
        <f t="shared" si="70"/>
        <v>3</v>
      </c>
      <c r="J931" s="48">
        <f t="shared" si="71"/>
        <v>1</v>
      </c>
      <c r="K931" s="48">
        <f t="shared" si="72"/>
        <v>6</v>
      </c>
      <c r="L931" s="39" t="s">
        <v>9</v>
      </c>
      <c r="N931" s="44">
        <v>45987</v>
      </c>
      <c r="O931" s="39">
        <v>3</v>
      </c>
      <c r="P931" s="39">
        <v>1</v>
      </c>
      <c r="Q931" s="39">
        <v>6</v>
      </c>
      <c r="R931" s="39">
        <v>1</v>
      </c>
      <c r="S931" s="51" t="str">
        <f t="shared" si="73"/>
        <v>Detractor</v>
      </c>
    </row>
    <row r="932" ht="14.25" customHeight="1" spans="1:19">
      <c r="A932" s="43" t="s">
        <v>974</v>
      </c>
      <c r="B932" s="43" t="s">
        <v>12</v>
      </c>
      <c r="C932" s="43" t="s">
        <v>22</v>
      </c>
      <c r="D932" s="44">
        <v>45949</v>
      </c>
      <c r="E932" s="44">
        <v>45953</v>
      </c>
      <c r="F932" s="44">
        <v>45954</v>
      </c>
      <c r="G932" s="44">
        <v>45956</v>
      </c>
      <c r="H932" s="45" t="str">
        <f t="shared" si="74"/>
        <v>Delivered</v>
      </c>
      <c r="I932" s="48">
        <f t="shared" si="70"/>
        <v>4</v>
      </c>
      <c r="J932" s="48">
        <f t="shared" si="71"/>
        <v>1</v>
      </c>
      <c r="K932" s="48">
        <f t="shared" si="72"/>
        <v>2</v>
      </c>
      <c r="L932" s="39" t="s">
        <v>9</v>
      </c>
      <c r="N932" s="44">
        <v>45971</v>
      </c>
      <c r="O932" s="39">
        <v>4</v>
      </c>
      <c r="P932" s="39">
        <v>1</v>
      </c>
      <c r="Q932" s="39">
        <v>2</v>
      </c>
      <c r="R932" s="39">
        <v>7</v>
      </c>
      <c r="S932" s="51" t="str">
        <f t="shared" si="73"/>
        <v>Passive</v>
      </c>
    </row>
    <row r="933" ht="14.25" customHeight="1" spans="1:19">
      <c r="A933" s="43" t="s">
        <v>975</v>
      </c>
      <c r="B933" s="43" t="s">
        <v>13</v>
      </c>
      <c r="C933" s="43" t="s">
        <v>21</v>
      </c>
      <c r="D933" s="44">
        <v>45934</v>
      </c>
      <c r="E933" s="44">
        <v>45937</v>
      </c>
      <c r="F933" s="44">
        <v>45938</v>
      </c>
      <c r="G933" s="44">
        <v>45943</v>
      </c>
      <c r="H933" s="45" t="str">
        <f t="shared" si="74"/>
        <v>Delivered</v>
      </c>
      <c r="I933" s="48">
        <f t="shared" si="70"/>
        <v>3</v>
      </c>
      <c r="J933" s="48">
        <f t="shared" si="71"/>
        <v>1</v>
      </c>
      <c r="K933" s="48">
        <f t="shared" si="72"/>
        <v>5</v>
      </c>
      <c r="L933" s="39" t="s">
        <v>9</v>
      </c>
      <c r="N933" s="44">
        <v>45963</v>
      </c>
      <c r="O933" s="39">
        <v>3</v>
      </c>
      <c r="P933" s="39">
        <v>1</v>
      </c>
      <c r="Q933" s="39">
        <v>5</v>
      </c>
      <c r="R933" s="39">
        <v>9</v>
      </c>
      <c r="S933" s="51" t="str">
        <f t="shared" si="73"/>
        <v>Promoter</v>
      </c>
    </row>
    <row r="934" ht="14.25" customHeight="1" spans="1:19">
      <c r="A934" s="43" t="s">
        <v>976</v>
      </c>
      <c r="B934" s="43" t="s">
        <v>13</v>
      </c>
      <c r="C934" s="43" t="s">
        <v>22</v>
      </c>
      <c r="D934" s="44">
        <v>45945</v>
      </c>
      <c r="E934" s="44">
        <v>45946</v>
      </c>
      <c r="F934" s="44">
        <v>45949</v>
      </c>
      <c r="G934" s="44">
        <v>45956</v>
      </c>
      <c r="H934" s="45" t="str">
        <f t="shared" si="74"/>
        <v>Delivered</v>
      </c>
      <c r="I934" s="48">
        <f t="shared" si="70"/>
        <v>1</v>
      </c>
      <c r="J934" s="48">
        <f t="shared" si="71"/>
        <v>3</v>
      </c>
      <c r="K934" s="48">
        <f t="shared" si="72"/>
        <v>7</v>
      </c>
      <c r="L934" s="39" t="s">
        <v>9</v>
      </c>
      <c r="N934" s="44">
        <v>45977</v>
      </c>
      <c r="O934" s="39">
        <v>1</v>
      </c>
      <c r="P934" s="39">
        <v>3</v>
      </c>
      <c r="Q934" s="39">
        <v>7</v>
      </c>
      <c r="R934" s="39">
        <v>2</v>
      </c>
      <c r="S934" s="51" t="str">
        <f t="shared" si="73"/>
        <v>Detractor</v>
      </c>
    </row>
    <row r="935" ht="14.25" customHeight="1" spans="1:19">
      <c r="A935" s="43" t="s">
        <v>977</v>
      </c>
      <c r="B935" s="43" t="s">
        <v>11</v>
      </c>
      <c r="C935" s="43" t="s">
        <v>22</v>
      </c>
      <c r="D935" s="44">
        <v>45947</v>
      </c>
      <c r="E935" s="44">
        <v>45951</v>
      </c>
      <c r="F935" s="44">
        <v>45953</v>
      </c>
      <c r="G935" s="44">
        <v>45957</v>
      </c>
      <c r="H935" s="45" t="str">
        <f t="shared" si="74"/>
        <v>Delivered</v>
      </c>
      <c r="I935" s="48">
        <f t="shared" si="70"/>
        <v>4</v>
      </c>
      <c r="J935" s="48">
        <f t="shared" si="71"/>
        <v>2</v>
      </c>
      <c r="K935" s="48">
        <f t="shared" si="72"/>
        <v>4</v>
      </c>
      <c r="L935" s="39" t="s">
        <v>10</v>
      </c>
      <c r="M935" s="39" t="s">
        <v>49</v>
      </c>
      <c r="O935" s="39">
        <v>4</v>
      </c>
      <c r="P935" s="39">
        <v>2</v>
      </c>
      <c r="Q935" s="39">
        <v>4</v>
      </c>
      <c r="S935" s="51" t="str">
        <f t="shared" si="73"/>
        <v>Detractor</v>
      </c>
    </row>
    <row r="936" ht="14.25" customHeight="1" spans="1:19">
      <c r="A936" s="43" t="s">
        <v>978</v>
      </c>
      <c r="B936" s="43" t="s">
        <v>12</v>
      </c>
      <c r="C936" s="43" t="s">
        <v>21</v>
      </c>
      <c r="D936" s="44">
        <v>45938</v>
      </c>
      <c r="E936" s="44">
        <v>45939</v>
      </c>
      <c r="F936" s="44">
        <v>45944</v>
      </c>
      <c r="G936" s="44">
        <v>45949</v>
      </c>
      <c r="H936" s="45" t="str">
        <f t="shared" si="74"/>
        <v>Delivered</v>
      </c>
      <c r="I936" s="48">
        <f t="shared" si="70"/>
        <v>1</v>
      </c>
      <c r="J936" s="48">
        <f t="shared" si="71"/>
        <v>5</v>
      </c>
      <c r="K936" s="48">
        <f t="shared" si="72"/>
        <v>5</v>
      </c>
      <c r="L936" s="39" t="s">
        <v>9</v>
      </c>
      <c r="N936" s="44">
        <v>45973</v>
      </c>
      <c r="O936" s="39">
        <v>1</v>
      </c>
      <c r="P936" s="39">
        <v>5</v>
      </c>
      <c r="Q936" s="39">
        <v>5</v>
      </c>
      <c r="R936" s="39">
        <v>9</v>
      </c>
      <c r="S936" s="51" t="str">
        <f t="shared" si="73"/>
        <v>Promoter</v>
      </c>
    </row>
    <row r="937" ht="14.25" customHeight="1" spans="1:19">
      <c r="A937" s="43" t="s">
        <v>979</v>
      </c>
      <c r="B937" s="43" t="s">
        <v>11</v>
      </c>
      <c r="C937" s="43" t="s">
        <v>22</v>
      </c>
      <c r="D937" s="44">
        <v>45961</v>
      </c>
      <c r="E937" s="44">
        <v>45966</v>
      </c>
      <c r="F937" s="44">
        <v>45971</v>
      </c>
      <c r="G937" s="44">
        <v>45977</v>
      </c>
      <c r="H937" s="45" t="str">
        <f t="shared" si="74"/>
        <v>Delivered</v>
      </c>
      <c r="I937" s="48">
        <f t="shared" si="70"/>
        <v>5</v>
      </c>
      <c r="J937" s="48">
        <f t="shared" si="71"/>
        <v>5</v>
      </c>
      <c r="K937" s="48">
        <f t="shared" si="72"/>
        <v>6</v>
      </c>
      <c r="L937" s="39" t="s">
        <v>9</v>
      </c>
      <c r="N937" s="44">
        <v>46006</v>
      </c>
      <c r="O937" s="39">
        <v>5</v>
      </c>
      <c r="P937" s="39">
        <v>5</v>
      </c>
      <c r="Q937" s="39">
        <v>6</v>
      </c>
      <c r="R937" s="39">
        <v>2</v>
      </c>
      <c r="S937" s="51" t="str">
        <f t="shared" si="73"/>
        <v>Detractor</v>
      </c>
    </row>
    <row r="938" ht="14.25" customHeight="1" spans="1:19">
      <c r="A938" s="43" t="s">
        <v>980</v>
      </c>
      <c r="B938" s="43" t="s">
        <v>13</v>
      </c>
      <c r="C938" s="43" t="s">
        <v>22</v>
      </c>
      <c r="D938" s="44">
        <v>45950</v>
      </c>
      <c r="E938" s="44">
        <v>45955</v>
      </c>
      <c r="F938" s="44">
        <v>45960</v>
      </c>
      <c r="G938" s="44">
        <v>45965</v>
      </c>
      <c r="H938" s="45" t="str">
        <f t="shared" si="74"/>
        <v>Delivered</v>
      </c>
      <c r="I938" s="48">
        <f t="shared" si="70"/>
        <v>5</v>
      </c>
      <c r="J938" s="48">
        <f t="shared" si="71"/>
        <v>5</v>
      </c>
      <c r="K938" s="48">
        <f t="shared" si="72"/>
        <v>5</v>
      </c>
      <c r="L938" s="39" t="s">
        <v>9</v>
      </c>
      <c r="N938" s="44">
        <v>45983</v>
      </c>
      <c r="O938" s="39">
        <v>5</v>
      </c>
      <c r="P938" s="39">
        <v>5</v>
      </c>
      <c r="Q938" s="39">
        <v>5</v>
      </c>
      <c r="R938" s="39">
        <v>4</v>
      </c>
      <c r="S938" s="51" t="str">
        <f t="shared" si="73"/>
        <v>Detractor</v>
      </c>
    </row>
    <row r="939" ht="14.25" customHeight="1" spans="1:19">
      <c r="A939" s="43" t="s">
        <v>981</v>
      </c>
      <c r="B939" s="43" t="s">
        <v>12</v>
      </c>
      <c r="C939" s="43" t="s">
        <v>20</v>
      </c>
      <c r="D939" s="44">
        <v>45932</v>
      </c>
      <c r="H939" s="45" t="str">
        <f t="shared" si="74"/>
        <v>Cancelled</v>
      </c>
      <c r="I939" s="48">
        <f t="shared" si="70"/>
        <v>0</v>
      </c>
      <c r="J939" s="48">
        <f t="shared" si="71"/>
        <v>0</v>
      </c>
      <c r="K939" s="48">
        <f t="shared" si="72"/>
        <v>0</v>
      </c>
      <c r="L939" s="39" t="s">
        <v>10</v>
      </c>
      <c r="M939" s="39" t="s">
        <v>117</v>
      </c>
      <c r="S939" s="51" t="str">
        <f t="shared" si="73"/>
        <v>Detractor</v>
      </c>
    </row>
    <row r="940" ht="14.25" customHeight="1" spans="1:19">
      <c r="A940" s="43" t="s">
        <v>982</v>
      </c>
      <c r="B940" s="43" t="s">
        <v>14</v>
      </c>
      <c r="C940" s="43" t="s">
        <v>21</v>
      </c>
      <c r="D940" s="44">
        <v>45954</v>
      </c>
      <c r="E940" s="44">
        <v>45956</v>
      </c>
      <c r="F940" s="44">
        <v>45961</v>
      </c>
      <c r="G940" s="44">
        <v>45965</v>
      </c>
      <c r="H940" s="45" t="str">
        <f t="shared" si="74"/>
        <v>Delivered</v>
      </c>
      <c r="I940" s="48">
        <f t="shared" si="70"/>
        <v>2</v>
      </c>
      <c r="J940" s="48">
        <f t="shared" si="71"/>
        <v>5</v>
      </c>
      <c r="K940" s="48">
        <f t="shared" si="72"/>
        <v>4</v>
      </c>
      <c r="L940" s="39" t="s">
        <v>9</v>
      </c>
      <c r="N940" s="44">
        <v>45977</v>
      </c>
      <c r="O940" s="39">
        <v>2</v>
      </c>
      <c r="P940" s="39">
        <v>5</v>
      </c>
      <c r="Q940" s="39">
        <v>4</v>
      </c>
      <c r="R940" s="39">
        <v>7</v>
      </c>
      <c r="S940" s="51" t="str">
        <f t="shared" si="73"/>
        <v>Passive</v>
      </c>
    </row>
    <row r="941" ht="14.25" customHeight="1" spans="1:19">
      <c r="A941" s="43" t="s">
        <v>983</v>
      </c>
      <c r="B941" s="43" t="s">
        <v>12</v>
      </c>
      <c r="C941" s="43" t="s">
        <v>20</v>
      </c>
      <c r="D941" s="44">
        <v>45956</v>
      </c>
      <c r="H941" s="45" t="str">
        <f t="shared" si="74"/>
        <v>Cancelled</v>
      </c>
      <c r="I941" s="48">
        <f t="shared" si="70"/>
        <v>0</v>
      </c>
      <c r="J941" s="48">
        <f t="shared" si="71"/>
        <v>0</v>
      </c>
      <c r="K941" s="48">
        <f t="shared" si="72"/>
        <v>0</v>
      </c>
      <c r="L941" s="39" t="s">
        <v>10</v>
      </c>
      <c r="M941" s="39" t="s">
        <v>117</v>
      </c>
      <c r="S941" s="51" t="str">
        <f t="shared" si="73"/>
        <v>Detractor</v>
      </c>
    </row>
    <row r="942" ht="14.25" customHeight="1" spans="1:19">
      <c r="A942" s="43" t="s">
        <v>984</v>
      </c>
      <c r="B942" s="43" t="s">
        <v>14</v>
      </c>
      <c r="C942" s="43" t="s">
        <v>22</v>
      </c>
      <c r="D942" s="44">
        <v>45960</v>
      </c>
      <c r="E942" s="44">
        <v>45963</v>
      </c>
      <c r="F942" s="44">
        <v>45968</v>
      </c>
      <c r="G942" s="44">
        <v>45974</v>
      </c>
      <c r="H942" s="45" t="str">
        <f t="shared" si="74"/>
        <v>Delivered</v>
      </c>
      <c r="I942" s="48">
        <f t="shared" si="70"/>
        <v>3</v>
      </c>
      <c r="J942" s="48">
        <f t="shared" si="71"/>
        <v>5</v>
      </c>
      <c r="K942" s="48">
        <f t="shared" si="72"/>
        <v>6</v>
      </c>
      <c r="L942" s="39" t="s">
        <v>9</v>
      </c>
      <c r="N942" s="44">
        <v>45995</v>
      </c>
      <c r="O942" s="39">
        <v>3</v>
      </c>
      <c r="P942" s="39">
        <v>5</v>
      </c>
      <c r="Q942" s="39">
        <v>6</v>
      </c>
      <c r="R942" s="39">
        <v>8</v>
      </c>
      <c r="S942" s="51" t="str">
        <f t="shared" si="73"/>
        <v>Passive</v>
      </c>
    </row>
    <row r="943" ht="14.25" customHeight="1" spans="1:19">
      <c r="A943" s="43" t="s">
        <v>985</v>
      </c>
      <c r="B943" s="43" t="s">
        <v>14</v>
      </c>
      <c r="C943" s="43" t="s">
        <v>22</v>
      </c>
      <c r="D943" s="44">
        <v>45958</v>
      </c>
      <c r="E943" s="44">
        <v>45963</v>
      </c>
      <c r="F943" s="44">
        <v>45965</v>
      </c>
      <c r="G943" s="44">
        <v>45971</v>
      </c>
      <c r="H943" s="45" t="str">
        <f t="shared" si="74"/>
        <v>Delivered</v>
      </c>
      <c r="I943" s="48">
        <f t="shared" si="70"/>
        <v>5</v>
      </c>
      <c r="J943" s="48">
        <f t="shared" si="71"/>
        <v>2</v>
      </c>
      <c r="K943" s="48">
        <f t="shared" si="72"/>
        <v>6</v>
      </c>
      <c r="L943" s="39" t="s">
        <v>9</v>
      </c>
      <c r="N943" s="44">
        <v>45991</v>
      </c>
      <c r="O943" s="39">
        <v>5</v>
      </c>
      <c r="P943" s="39">
        <v>2</v>
      </c>
      <c r="Q943" s="39">
        <v>6</v>
      </c>
      <c r="R943" s="39">
        <v>5</v>
      </c>
      <c r="S943" s="51" t="str">
        <f t="shared" si="73"/>
        <v>Detractor</v>
      </c>
    </row>
    <row r="944" ht="14.25" customHeight="1" spans="1:19">
      <c r="A944" s="43" t="s">
        <v>986</v>
      </c>
      <c r="B944" s="43" t="s">
        <v>12</v>
      </c>
      <c r="C944" s="43" t="s">
        <v>21</v>
      </c>
      <c r="D944" s="44">
        <v>45952</v>
      </c>
      <c r="E944" s="44">
        <v>45955</v>
      </c>
      <c r="F944" s="44">
        <v>45959</v>
      </c>
      <c r="G944" s="44">
        <v>45963</v>
      </c>
      <c r="H944" s="45" t="str">
        <f t="shared" si="74"/>
        <v>Delivered</v>
      </c>
      <c r="I944" s="48">
        <f t="shared" si="70"/>
        <v>3</v>
      </c>
      <c r="J944" s="48">
        <f t="shared" si="71"/>
        <v>4</v>
      </c>
      <c r="K944" s="48">
        <f t="shared" si="72"/>
        <v>4</v>
      </c>
      <c r="L944" s="39" t="s">
        <v>9</v>
      </c>
      <c r="N944" s="44">
        <v>45978</v>
      </c>
      <c r="O944" s="39">
        <v>3</v>
      </c>
      <c r="P944" s="39">
        <v>4</v>
      </c>
      <c r="Q944" s="39">
        <v>4</v>
      </c>
      <c r="R944" s="39">
        <v>4</v>
      </c>
      <c r="S944" s="51" t="str">
        <f t="shared" si="73"/>
        <v>Detractor</v>
      </c>
    </row>
    <row r="945" ht="14.25" customHeight="1" spans="1:19">
      <c r="A945" s="43" t="s">
        <v>987</v>
      </c>
      <c r="B945" s="43" t="s">
        <v>14</v>
      </c>
      <c r="C945" s="43" t="s">
        <v>22</v>
      </c>
      <c r="D945" s="44">
        <v>45947</v>
      </c>
      <c r="E945" s="44">
        <v>45948</v>
      </c>
      <c r="F945" s="44">
        <v>45951</v>
      </c>
      <c r="G945" s="44">
        <v>45956</v>
      </c>
      <c r="H945" s="45" t="str">
        <f t="shared" si="74"/>
        <v>Delivered</v>
      </c>
      <c r="I945" s="48">
        <f t="shared" si="70"/>
        <v>1</v>
      </c>
      <c r="J945" s="48">
        <f t="shared" si="71"/>
        <v>3</v>
      </c>
      <c r="K945" s="48">
        <f t="shared" si="72"/>
        <v>5</v>
      </c>
      <c r="L945" s="39" t="s">
        <v>9</v>
      </c>
      <c r="N945" s="44">
        <v>45969</v>
      </c>
      <c r="O945" s="39">
        <v>1</v>
      </c>
      <c r="P945" s="39">
        <v>3</v>
      </c>
      <c r="Q945" s="39">
        <v>5</v>
      </c>
      <c r="R945" s="39">
        <v>2</v>
      </c>
      <c r="S945" s="51" t="str">
        <f t="shared" si="73"/>
        <v>Detractor</v>
      </c>
    </row>
    <row r="946" ht="14.25" customHeight="1" spans="1:19">
      <c r="A946" s="43" t="s">
        <v>988</v>
      </c>
      <c r="B946" s="43" t="s">
        <v>11</v>
      </c>
      <c r="C946" s="43" t="s">
        <v>21</v>
      </c>
      <c r="D946" s="44">
        <v>45940</v>
      </c>
      <c r="E946" s="44">
        <v>45944</v>
      </c>
      <c r="F946" s="44">
        <v>45948</v>
      </c>
      <c r="G946" s="44">
        <v>45952</v>
      </c>
      <c r="H946" s="45" t="str">
        <f t="shared" si="74"/>
        <v>Delivered</v>
      </c>
      <c r="I946" s="48">
        <f t="shared" si="70"/>
        <v>4</v>
      </c>
      <c r="J946" s="48">
        <f t="shared" si="71"/>
        <v>4</v>
      </c>
      <c r="K946" s="48">
        <f t="shared" si="72"/>
        <v>4</v>
      </c>
      <c r="L946" s="39" t="s">
        <v>9</v>
      </c>
      <c r="N946" s="44">
        <v>45974</v>
      </c>
      <c r="O946" s="39">
        <v>4</v>
      </c>
      <c r="P946" s="39">
        <v>4</v>
      </c>
      <c r="Q946" s="39">
        <v>4</v>
      </c>
      <c r="R946" s="39">
        <v>3</v>
      </c>
      <c r="S946" s="51" t="str">
        <f t="shared" si="73"/>
        <v>Detractor</v>
      </c>
    </row>
    <row r="947" ht="14.25" customHeight="1" spans="1:19">
      <c r="A947" s="43" t="s">
        <v>989</v>
      </c>
      <c r="B947" s="43" t="s">
        <v>13</v>
      </c>
      <c r="C947" s="43" t="s">
        <v>22</v>
      </c>
      <c r="D947" s="44">
        <v>45945</v>
      </c>
      <c r="E947" s="44">
        <v>45950</v>
      </c>
      <c r="F947" s="44">
        <v>45954</v>
      </c>
      <c r="G947" s="44">
        <v>45957</v>
      </c>
      <c r="H947" s="45" t="str">
        <f t="shared" si="74"/>
        <v>Delivered</v>
      </c>
      <c r="I947" s="48">
        <f t="shared" si="70"/>
        <v>5</v>
      </c>
      <c r="J947" s="48">
        <f t="shared" si="71"/>
        <v>4</v>
      </c>
      <c r="K947" s="48">
        <f t="shared" si="72"/>
        <v>3</v>
      </c>
      <c r="L947" s="39" t="s">
        <v>9</v>
      </c>
      <c r="N947" s="44">
        <v>45979</v>
      </c>
      <c r="O947" s="39">
        <v>5</v>
      </c>
      <c r="P947" s="39">
        <v>4</v>
      </c>
      <c r="Q947" s="39">
        <v>3</v>
      </c>
      <c r="R947" s="39">
        <v>6</v>
      </c>
      <c r="S947" s="51" t="str">
        <f t="shared" si="73"/>
        <v>Detractor</v>
      </c>
    </row>
    <row r="948" ht="14.25" customHeight="1" spans="1:19">
      <c r="A948" s="43" t="s">
        <v>990</v>
      </c>
      <c r="B948" s="43" t="s">
        <v>14</v>
      </c>
      <c r="C948" s="43" t="s">
        <v>21</v>
      </c>
      <c r="D948" s="44">
        <v>45951</v>
      </c>
      <c r="E948" s="44">
        <v>45955</v>
      </c>
      <c r="F948" s="44">
        <v>45960</v>
      </c>
      <c r="G948" s="44">
        <v>45962</v>
      </c>
      <c r="H948" s="45" t="str">
        <f t="shared" si="74"/>
        <v>Delivered</v>
      </c>
      <c r="I948" s="48">
        <f t="shared" si="70"/>
        <v>4</v>
      </c>
      <c r="J948" s="48">
        <f t="shared" si="71"/>
        <v>5</v>
      </c>
      <c r="K948" s="48">
        <f t="shared" si="72"/>
        <v>2</v>
      </c>
      <c r="L948" s="39" t="s">
        <v>9</v>
      </c>
      <c r="N948" s="44">
        <v>45986</v>
      </c>
      <c r="O948" s="39">
        <v>4</v>
      </c>
      <c r="P948" s="39">
        <v>5</v>
      </c>
      <c r="Q948" s="39">
        <v>2</v>
      </c>
      <c r="R948" s="39">
        <v>6</v>
      </c>
      <c r="S948" s="51" t="str">
        <f t="shared" si="73"/>
        <v>Detractor</v>
      </c>
    </row>
    <row r="949" ht="14.25" customHeight="1" spans="1:19">
      <c r="A949" s="43" t="s">
        <v>991</v>
      </c>
      <c r="B949" s="43" t="s">
        <v>11</v>
      </c>
      <c r="C949" s="43" t="s">
        <v>20</v>
      </c>
      <c r="D949" s="44">
        <v>45961</v>
      </c>
      <c r="H949" s="45" t="str">
        <f t="shared" si="74"/>
        <v>Cancelled</v>
      </c>
      <c r="I949" s="48">
        <f t="shared" si="70"/>
        <v>0</v>
      </c>
      <c r="J949" s="48">
        <f t="shared" si="71"/>
        <v>0</v>
      </c>
      <c r="K949" s="48">
        <f t="shared" si="72"/>
        <v>0</v>
      </c>
      <c r="L949" s="39" t="s">
        <v>10</v>
      </c>
      <c r="M949" s="39" t="s">
        <v>42</v>
      </c>
      <c r="S949" s="51" t="str">
        <f t="shared" si="73"/>
        <v>Detractor</v>
      </c>
    </row>
    <row r="950" ht="14.25" customHeight="1" spans="1:19">
      <c r="A950" s="43" t="s">
        <v>992</v>
      </c>
      <c r="B950" s="43" t="s">
        <v>14</v>
      </c>
      <c r="C950" s="43" t="s">
        <v>22</v>
      </c>
      <c r="D950" s="44">
        <v>45931</v>
      </c>
      <c r="E950" s="44">
        <v>45936</v>
      </c>
      <c r="F950" s="44">
        <v>45941</v>
      </c>
      <c r="G950" s="44">
        <v>45945</v>
      </c>
      <c r="H950" s="45" t="str">
        <f t="shared" si="74"/>
        <v>Delivered</v>
      </c>
      <c r="I950" s="48">
        <f t="shared" si="70"/>
        <v>5</v>
      </c>
      <c r="J950" s="48">
        <f t="shared" si="71"/>
        <v>5</v>
      </c>
      <c r="K950" s="48">
        <f t="shared" si="72"/>
        <v>4</v>
      </c>
      <c r="L950" s="39" t="s">
        <v>9</v>
      </c>
      <c r="N950" s="44">
        <v>45963</v>
      </c>
      <c r="O950" s="39">
        <v>5</v>
      </c>
      <c r="P950" s="39">
        <v>5</v>
      </c>
      <c r="Q950" s="39">
        <v>4</v>
      </c>
      <c r="R950" s="39">
        <v>8</v>
      </c>
      <c r="S950" s="51" t="str">
        <f t="shared" si="73"/>
        <v>Passive</v>
      </c>
    </row>
    <row r="951" ht="14.25" customHeight="1" spans="1:19">
      <c r="A951" s="43" t="s">
        <v>993</v>
      </c>
      <c r="B951" s="43" t="s">
        <v>13</v>
      </c>
      <c r="C951" s="43" t="s">
        <v>22</v>
      </c>
      <c r="D951" s="44">
        <v>45932</v>
      </c>
      <c r="E951" s="44">
        <v>45935</v>
      </c>
      <c r="F951" s="44">
        <v>45937</v>
      </c>
      <c r="G951" s="44">
        <v>45943</v>
      </c>
      <c r="H951" s="45" t="str">
        <f t="shared" si="74"/>
        <v>Delivered</v>
      </c>
      <c r="I951" s="48">
        <f t="shared" si="70"/>
        <v>3</v>
      </c>
      <c r="J951" s="48">
        <f t="shared" si="71"/>
        <v>2</v>
      </c>
      <c r="K951" s="48">
        <f t="shared" si="72"/>
        <v>6</v>
      </c>
      <c r="L951" s="39" t="s">
        <v>9</v>
      </c>
      <c r="N951" s="44">
        <v>45965</v>
      </c>
      <c r="O951" s="39">
        <v>3</v>
      </c>
      <c r="P951" s="39">
        <v>2</v>
      </c>
      <c r="Q951" s="39">
        <v>6</v>
      </c>
      <c r="R951" s="39">
        <v>2</v>
      </c>
      <c r="S951" s="51" t="str">
        <f t="shared" si="73"/>
        <v>Detractor</v>
      </c>
    </row>
    <row r="952" ht="14.25" customHeight="1" spans="1:19">
      <c r="A952" s="43" t="s">
        <v>994</v>
      </c>
      <c r="B952" s="43" t="s">
        <v>11</v>
      </c>
      <c r="C952" s="43" t="s">
        <v>21</v>
      </c>
      <c r="D952" s="44">
        <v>45946</v>
      </c>
      <c r="E952" s="44">
        <v>45951</v>
      </c>
      <c r="F952" s="44">
        <v>45954</v>
      </c>
      <c r="G952" s="44">
        <v>45957</v>
      </c>
      <c r="H952" s="45" t="str">
        <f t="shared" si="74"/>
        <v>Delivered</v>
      </c>
      <c r="I952" s="48">
        <f t="shared" si="70"/>
        <v>5</v>
      </c>
      <c r="J952" s="48">
        <f t="shared" si="71"/>
        <v>3</v>
      </c>
      <c r="K952" s="48">
        <f t="shared" si="72"/>
        <v>3</v>
      </c>
      <c r="L952" s="39" t="s">
        <v>9</v>
      </c>
      <c r="N952" s="44">
        <v>45982</v>
      </c>
      <c r="O952" s="39">
        <v>5</v>
      </c>
      <c r="P952" s="39">
        <v>3</v>
      </c>
      <c r="Q952" s="39">
        <v>3</v>
      </c>
      <c r="R952" s="39">
        <v>3</v>
      </c>
      <c r="S952" s="51" t="str">
        <f t="shared" si="73"/>
        <v>Detractor</v>
      </c>
    </row>
    <row r="953" ht="14.25" customHeight="1" spans="1:19">
      <c r="A953" s="43" t="s">
        <v>995</v>
      </c>
      <c r="B953" s="43" t="s">
        <v>13</v>
      </c>
      <c r="C953" s="43" t="s">
        <v>21</v>
      </c>
      <c r="D953" s="44">
        <v>45958</v>
      </c>
      <c r="E953" s="44">
        <v>45963</v>
      </c>
      <c r="F953" s="44">
        <v>45964</v>
      </c>
      <c r="G953" s="44">
        <v>45966</v>
      </c>
      <c r="H953" s="45" t="str">
        <f t="shared" si="74"/>
        <v>Delivered</v>
      </c>
      <c r="I953" s="48">
        <f t="shared" si="70"/>
        <v>5</v>
      </c>
      <c r="J953" s="48">
        <f t="shared" si="71"/>
        <v>1</v>
      </c>
      <c r="K953" s="48">
        <f t="shared" si="72"/>
        <v>2</v>
      </c>
      <c r="L953" s="39" t="s">
        <v>9</v>
      </c>
      <c r="N953" s="44">
        <v>45989</v>
      </c>
      <c r="O953" s="39">
        <v>5</v>
      </c>
      <c r="P953" s="39">
        <v>1</v>
      </c>
      <c r="Q953" s="39">
        <v>2</v>
      </c>
      <c r="R953" s="39">
        <v>1</v>
      </c>
      <c r="S953" s="51" t="str">
        <f t="shared" si="73"/>
        <v>Detractor</v>
      </c>
    </row>
    <row r="954" ht="14.25" customHeight="1" spans="1:19">
      <c r="A954" s="43" t="s">
        <v>996</v>
      </c>
      <c r="B954" s="43" t="s">
        <v>13</v>
      </c>
      <c r="C954" s="43" t="s">
        <v>22</v>
      </c>
      <c r="D954" s="44">
        <v>45943</v>
      </c>
      <c r="E954" s="44">
        <v>45944</v>
      </c>
      <c r="F954" s="44">
        <v>45948</v>
      </c>
      <c r="G954" s="44">
        <v>45952</v>
      </c>
      <c r="H954" s="45" t="str">
        <f t="shared" si="74"/>
        <v>Delivered</v>
      </c>
      <c r="I954" s="48">
        <f t="shared" si="70"/>
        <v>1</v>
      </c>
      <c r="J954" s="48">
        <f t="shared" si="71"/>
        <v>4</v>
      </c>
      <c r="K954" s="48">
        <f t="shared" si="72"/>
        <v>4</v>
      </c>
      <c r="L954" s="39" t="s">
        <v>9</v>
      </c>
      <c r="N954" s="44">
        <v>45982</v>
      </c>
      <c r="O954" s="39">
        <v>1</v>
      </c>
      <c r="P954" s="39">
        <v>4</v>
      </c>
      <c r="Q954" s="39">
        <v>4</v>
      </c>
      <c r="R954" s="39">
        <v>1</v>
      </c>
      <c r="S954" s="51" t="str">
        <f t="shared" si="73"/>
        <v>Detractor</v>
      </c>
    </row>
    <row r="955" ht="14.25" customHeight="1" spans="1:19">
      <c r="A955" s="43" t="s">
        <v>997</v>
      </c>
      <c r="B955" s="43" t="s">
        <v>11</v>
      </c>
      <c r="C955" s="43" t="s">
        <v>22</v>
      </c>
      <c r="D955" s="44">
        <v>45944</v>
      </c>
      <c r="E955" s="44">
        <v>45946</v>
      </c>
      <c r="F955" s="44">
        <v>45947</v>
      </c>
      <c r="G955" s="44">
        <v>45949</v>
      </c>
      <c r="H955" s="45" t="str">
        <f t="shared" si="74"/>
        <v>Delivered</v>
      </c>
      <c r="I955" s="48">
        <f t="shared" si="70"/>
        <v>2</v>
      </c>
      <c r="J955" s="48">
        <f t="shared" si="71"/>
        <v>1</v>
      </c>
      <c r="K955" s="48">
        <f t="shared" si="72"/>
        <v>2</v>
      </c>
      <c r="L955" s="39" t="s">
        <v>9</v>
      </c>
      <c r="N955" s="44">
        <v>45964</v>
      </c>
      <c r="O955" s="39">
        <v>2</v>
      </c>
      <c r="P955" s="39">
        <v>1</v>
      </c>
      <c r="Q955" s="39">
        <v>2</v>
      </c>
      <c r="R955" s="39">
        <v>6</v>
      </c>
      <c r="S955" s="51" t="str">
        <f t="shared" si="73"/>
        <v>Detractor</v>
      </c>
    </row>
    <row r="956" ht="14.25" customHeight="1" spans="1:19">
      <c r="A956" s="43" t="s">
        <v>998</v>
      </c>
      <c r="B956" s="43" t="s">
        <v>11</v>
      </c>
      <c r="C956" s="43" t="s">
        <v>21</v>
      </c>
      <c r="D956" s="44">
        <v>45952</v>
      </c>
      <c r="E956" s="44">
        <v>45953</v>
      </c>
      <c r="F956" s="44">
        <v>45956</v>
      </c>
      <c r="G956" s="44">
        <v>45961</v>
      </c>
      <c r="H956" s="45" t="str">
        <f t="shared" si="74"/>
        <v>Delivered</v>
      </c>
      <c r="I956" s="48">
        <f t="shared" si="70"/>
        <v>1</v>
      </c>
      <c r="J956" s="48">
        <f t="shared" si="71"/>
        <v>3</v>
      </c>
      <c r="K956" s="48">
        <f t="shared" si="72"/>
        <v>5</v>
      </c>
      <c r="L956" s="39" t="s">
        <v>9</v>
      </c>
      <c r="N956" s="44">
        <v>45974</v>
      </c>
      <c r="O956" s="39">
        <v>1</v>
      </c>
      <c r="P956" s="39">
        <v>3</v>
      </c>
      <c r="Q956" s="39">
        <v>5</v>
      </c>
      <c r="R956" s="39">
        <v>1</v>
      </c>
      <c r="S956" s="51" t="str">
        <f t="shared" si="73"/>
        <v>Detractor</v>
      </c>
    </row>
    <row r="957" ht="14.25" customHeight="1" spans="1:19">
      <c r="A957" s="43" t="s">
        <v>999</v>
      </c>
      <c r="B957" s="43" t="s">
        <v>11</v>
      </c>
      <c r="C957" s="43" t="s">
        <v>22</v>
      </c>
      <c r="D957" s="44">
        <v>45934</v>
      </c>
      <c r="E957" s="44">
        <v>45938</v>
      </c>
      <c r="F957" s="44">
        <v>45942</v>
      </c>
      <c r="G957" s="44">
        <v>45948</v>
      </c>
      <c r="H957" s="45" t="str">
        <f t="shared" si="74"/>
        <v>Delivered</v>
      </c>
      <c r="I957" s="48">
        <f t="shared" si="70"/>
        <v>4</v>
      </c>
      <c r="J957" s="48">
        <f t="shared" si="71"/>
        <v>4</v>
      </c>
      <c r="K957" s="48">
        <f t="shared" si="72"/>
        <v>6</v>
      </c>
      <c r="L957" s="39" t="s">
        <v>9</v>
      </c>
      <c r="N957" s="44">
        <v>45962</v>
      </c>
      <c r="O957" s="39">
        <v>4</v>
      </c>
      <c r="P957" s="39">
        <v>4</v>
      </c>
      <c r="Q957" s="39">
        <v>6</v>
      </c>
      <c r="R957" s="39">
        <v>2</v>
      </c>
      <c r="S957" s="51" t="str">
        <f t="shared" si="73"/>
        <v>Detractor</v>
      </c>
    </row>
    <row r="958" ht="14.25" customHeight="1" spans="1:19">
      <c r="A958" s="43" t="s">
        <v>1000</v>
      </c>
      <c r="B958" s="43" t="s">
        <v>12</v>
      </c>
      <c r="C958" s="43" t="s">
        <v>20</v>
      </c>
      <c r="D958" s="44">
        <v>45946</v>
      </c>
      <c r="H958" s="45" t="str">
        <f t="shared" si="74"/>
        <v>Cancelled</v>
      </c>
      <c r="I958" s="48">
        <f t="shared" si="70"/>
        <v>0</v>
      </c>
      <c r="J958" s="48">
        <f t="shared" si="71"/>
        <v>0</v>
      </c>
      <c r="K958" s="48">
        <f t="shared" si="72"/>
        <v>0</v>
      </c>
      <c r="L958" s="39" t="s">
        <v>10</v>
      </c>
      <c r="M958" s="39" t="s">
        <v>117</v>
      </c>
      <c r="S958" s="51" t="str">
        <f t="shared" si="73"/>
        <v>Detractor</v>
      </c>
    </row>
    <row r="959" ht="14.25" customHeight="1" spans="1:19">
      <c r="A959" s="43" t="s">
        <v>1001</v>
      </c>
      <c r="B959" s="43" t="s">
        <v>11</v>
      </c>
      <c r="C959" s="43" t="s">
        <v>22</v>
      </c>
      <c r="D959" s="44">
        <v>45953</v>
      </c>
      <c r="E959" s="44">
        <v>45956</v>
      </c>
      <c r="F959" s="44">
        <v>45957</v>
      </c>
      <c r="G959" s="44">
        <v>45961</v>
      </c>
      <c r="H959" s="45" t="str">
        <f t="shared" si="74"/>
        <v>Delivered</v>
      </c>
      <c r="I959" s="48">
        <f t="shared" si="70"/>
        <v>3</v>
      </c>
      <c r="J959" s="48">
        <f t="shared" si="71"/>
        <v>1</v>
      </c>
      <c r="K959" s="48">
        <f t="shared" si="72"/>
        <v>4</v>
      </c>
      <c r="L959" s="39" t="s">
        <v>9</v>
      </c>
      <c r="N959" s="44">
        <v>45972</v>
      </c>
      <c r="O959" s="39">
        <v>3</v>
      </c>
      <c r="P959" s="39">
        <v>1</v>
      </c>
      <c r="Q959" s="39">
        <v>4</v>
      </c>
      <c r="R959" s="39">
        <v>10</v>
      </c>
      <c r="S959" s="51" t="str">
        <f t="shared" si="73"/>
        <v>Promoter</v>
      </c>
    </row>
    <row r="960" ht="14.25" customHeight="1" spans="1:19">
      <c r="A960" s="43" t="s">
        <v>1002</v>
      </c>
      <c r="B960" s="43" t="s">
        <v>11</v>
      </c>
      <c r="C960" s="43" t="s">
        <v>22</v>
      </c>
      <c r="D960" s="44">
        <v>45960</v>
      </c>
      <c r="E960" s="44">
        <v>45963</v>
      </c>
      <c r="F960" s="44">
        <v>45964</v>
      </c>
      <c r="G960" s="44">
        <v>45970</v>
      </c>
      <c r="H960" s="45" t="str">
        <f t="shared" si="74"/>
        <v>Delivered</v>
      </c>
      <c r="I960" s="48">
        <f t="shared" si="70"/>
        <v>3</v>
      </c>
      <c r="J960" s="48">
        <f t="shared" si="71"/>
        <v>1</v>
      </c>
      <c r="K960" s="48">
        <f t="shared" si="72"/>
        <v>6</v>
      </c>
      <c r="L960" s="39" t="s">
        <v>9</v>
      </c>
      <c r="N960" s="44">
        <v>45985</v>
      </c>
      <c r="O960" s="39">
        <v>3</v>
      </c>
      <c r="P960" s="39">
        <v>1</v>
      </c>
      <c r="Q960" s="39">
        <v>6</v>
      </c>
      <c r="R960" s="39">
        <v>1</v>
      </c>
      <c r="S960" s="51" t="str">
        <f t="shared" si="73"/>
        <v>Detractor</v>
      </c>
    </row>
    <row r="961" ht="14.25" customHeight="1" spans="1:19">
      <c r="A961" s="43" t="s">
        <v>1003</v>
      </c>
      <c r="B961" s="43" t="s">
        <v>11</v>
      </c>
      <c r="C961" s="43" t="s">
        <v>20</v>
      </c>
      <c r="D961" s="44">
        <v>45945</v>
      </c>
      <c r="H961" s="45" t="str">
        <f t="shared" si="74"/>
        <v>Cancelled</v>
      </c>
      <c r="I961" s="48">
        <f t="shared" si="70"/>
        <v>0</v>
      </c>
      <c r="J961" s="48">
        <f t="shared" si="71"/>
        <v>0</v>
      </c>
      <c r="K961" s="48">
        <f t="shared" si="72"/>
        <v>0</v>
      </c>
      <c r="L961" s="39" t="s">
        <v>10</v>
      </c>
      <c r="M961" s="39" t="s">
        <v>49</v>
      </c>
      <c r="S961" s="51" t="str">
        <f t="shared" si="73"/>
        <v>Detractor</v>
      </c>
    </row>
    <row r="962" ht="14.25" customHeight="1" spans="1:19">
      <c r="A962" s="43" t="s">
        <v>1004</v>
      </c>
      <c r="B962" s="43" t="s">
        <v>11</v>
      </c>
      <c r="C962" s="43" t="s">
        <v>21</v>
      </c>
      <c r="D962" s="44">
        <v>45933</v>
      </c>
      <c r="E962" s="44">
        <v>45938</v>
      </c>
      <c r="F962" s="44">
        <v>45940</v>
      </c>
      <c r="G962" s="44">
        <v>45943</v>
      </c>
      <c r="H962" s="45" t="str">
        <f t="shared" si="74"/>
        <v>Delivered</v>
      </c>
      <c r="I962" s="48">
        <f t="shared" si="70"/>
        <v>5</v>
      </c>
      <c r="J962" s="48">
        <f t="shared" si="71"/>
        <v>2</v>
      </c>
      <c r="K962" s="48">
        <f t="shared" si="72"/>
        <v>3</v>
      </c>
      <c r="L962" s="39" t="s">
        <v>9</v>
      </c>
      <c r="N962" s="44">
        <v>45956</v>
      </c>
      <c r="O962" s="39">
        <v>5</v>
      </c>
      <c r="P962" s="39">
        <v>2</v>
      </c>
      <c r="Q962" s="39">
        <v>3</v>
      </c>
      <c r="R962" s="39">
        <v>8</v>
      </c>
      <c r="S962" s="51" t="str">
        <f t="shared" si="73"/>
        <v>Passive</v>
      </c>
    </row>
    <row r="963" ht="14.25" customHeight="1" spans="1:19">
      <c r="A963" s="43" t="s">
        <v>1005</v>
      </c>
      <c r="B963" s="43" t="s">
        <v>14</v>
      </c>
      <c r="C963" s="43" t="s">
        <v>22</v>
      </c>
      <c r="D963" s="44">
        <v>45959</v>
      </c>
      <c r="E963" s="44">
        <v>45962</v>
      </c>
      <c r="F963" s="44">
        <v>45965</v>
      </c>
      <c r="G963" s="44">
        <v>45968</v>
      </c>
      <c r="H963" s="45" t="str">
        <f t="shared" si="74"/>
        <v>Delivered</v>
      </c>
      <c r="I963" s="48">
        <f t="shared" ref="I963:I1001" si="75">IF(E963&gt;D963,E963-D963,0)</f>
        <v>3</v>
      </c>
      <c r="J963" s="48">
        <f t="shared" ref="J963:J1001" si="76">IF(F963&gt;E963,F963-E963,0)</f>
        <v>3</v>
      </c>
      <c r="K963" s="48">
        <f t="shared" ref="K963:K1001" si="77">IF(G963&gt;F963,G963-F963,0)</f>
        <v>3</v>
      </c>
      <c r="L963" s="39" t="s">
        <v>9</v>
      </c>
      <c r="N963" s="44">
        <v>45991</v>
      </c>
      <c r="O963" s="39">
        <v>3</v>
      </c>
      <c r="P963" s="39">
        <v>3</v>
      </c>
      <c r="Q963" s="39">
        <v>3</v>
      </c>
      <c r="R963" s="39">
        <v>6</v>
      </c>
      <c r="S963" s="51" t="str">
        <f t="shared" ref="S963:S1001" si="78">IF(R963&gt;=9,"Promoter",IF(R963&gt;=7,"Passive","Detractor"))</f>
        <v>Detractor</v>
      </c>
    </row>
    <row r="964" ht="14.25" customHeight="1" spans="1:19">
      <c r="A964" s="43" t="s">
        <v>1006</v>
      </c>
      <c r="B964" s="43" t="s">
        <v>12</v>
      </c>
      <c r="C964" s="43" t="s">
        <v>20</v>
      </c>
      <c r="D964" s="44">
        <v>45933</v>
      </c>
      <c r="H964" s="45" t="str">
        <f t="shared" si="74"/>
        <v>Cancelled</v>
      </c>
      <c r="I964" s="48">
        <f t="shared" si="75"/>
        <v>0</v>
      </c>
      <c r="J964" s="48">
        <f t="shared" si="76"/>
        <v>0</v>
      </c>
      <c r="K964" s="48">
        <f t="shared" si="77"/>
        <v>0</v>
      </c>
      <c r="L964" s="39" t="s">
        <v>10</v>
      </c>
      <c r="M964" s="39" t="s">
        <v>42</v>
      </c>
      <c r="S964" s="51" t="str">
        <f t="shared" si="78"/>
        <v>Detractor</v>
      </c>
    </row>
    <row r="965" ht="14.25" customHeight="1" spans="1:19">
      <c r="A965" s="43" t="s">
        <v>1007</v>
      </c>
      <c r="B965" s="43" t="s">
        <v>13</v>
      </c>
      <c r="C965" s="43" t="s">
        <v>21</v>
      </c>
      <c r="D965" s="44">
        <v>45941</v>
      </c>
      <c r="E965" s="44">
        <v>45943</v>
      </c>
      <c r="F965" s="44">
        <v>45946</v>
      </c>
      <c r="G965" s="44">
        <v>45948</v>
      </c>
      <c r="H965" s="45" t="str">
        <f t="shared" ref="H965:H1001" si="79">IF(G965&lt;&gt;"","Delivered",IF(F965&lt;&gt;"","Booked",IF(E965&lt;&gt;"","Pre-Booked",IF(D965&lt;&gt;"","Cancelled",""))))</f>
        <v>Delivered</v>
      </c>
      <c r="I965" s="48">
        <f t="shared" si="75"/>
        <v>2</v>
      </c>
      <c r="J965" s="48">
        <f t="shared" si="76"/>
        <v>3</v>
      </c>
      <c r="K965" s="48">
        <f t="shared" si="77"/>
        <v>2</v>
      </c>
      <c r="L965" s="39" t="s">
        <v>9</v>
      </c>
      <c r="N965" s="44">
        <v>45976</v>
      </c>
      <c r="O965" s="39">
        <v>2</v>
      </c>
      <c r="P965" s="39">
        <v>3</v>
      </c>
      <c r="Q965" s="39">
        <v>2</v>
      </c>
      <c r="R965" s="39">
        <v>3</v>
      </c>
      <c r="S965" s="51" t="str">
        <f t="shared" si="78"/>
        <v>Detractor</v>
      </c>
    </row>
    <row r="966" ht="14.25" customHeight="1" spans="1:19">
      <c r="A966" s="43" t="s">
        <v>1008</v>
      </c>
      <c r="B966" s="43" t="s">
        <v>11</v>
      </c>
      <c r="C966" s="43" t="s">
        <v>22</v>
      </c>
      <c r="D966" s="44">
        <v>45950</v>
      </c>
      <c r="E966" s="44">
        <v>45952</v>
      </c>
      <c r="F966" s="44">
        <v>45955</v>
      </c>
      <c r="G966" s="44">
        <v>45958</v>
      </c>
      <c r="H966" s="45" t="str">
        <f t="shared" si="79"/>
        <v>Delivered</v>
      </c>
      <c r="I966" s="48">
        <f t="shared" si="75"/>
        <v>2</v>
      </c>
      <c r="J966" s="48">
        <f t="shared" si="76"/>
        <v>3</v>
      </c>
      <c r="K966" s="48">
        <f t="shared" si="77"/>
        <v>3</v>
      </c>
      <c r="L966" s="39" t="s">
        <v>9</v>
      </c>
      <c r="N966" s="44">
        <v>45983</v>
      </c>
      <c r="O966" s="39">
        <v>2</v>
      </c>
      <c r="P966" s="39">
        <v>3</v>
      </c>
      <c r="Q966" s="39">
        <v>3</v>
      </c>
      <c r="R966" s="39">
        <v>9</v>
      </c>
      <c r="S966" s="51" t="str">
        <f t="shared" si="78"/>
        <v>Promoter</v>
      </c>
    </row>
    <row r="967" ht="14.25" customHeight="1" spans="1:19">
      <c r="A967" s="43" t="s">
        <v>1009</v>
      </c>
      <c r="B967" s="43" t="s">
        <v>14</v>
      </c>
      <c r="C967" s="43" t="s">
        <v>22</v>
      </c>
      <c r="D967" s="44">
        <v>45935</v>
      </c>
      <c r="E967" s="44">
        <v>45940</v>
      </c>
      <c r="F967" s="44">
        <v>45944</v>
      </c>
      <c r="G967" s="44">
        <v>45951</v>
      </c>
      <c r="H967" s="45" t="str">
        <f t="shared" si="79"/>
        <v>Delivered</v>
      </c>
      <c r="I967" s="48">
        <f t="shared" si="75"/>
        <v>5</v>
      </c>
      <c r="J967" s="48">
        <f t="shared" si="76"/>
        <v>4</v>
      </c>
      <c r="K967" s="48">
        <f t="shared" si="77"/>
        <v>7</v>
      </c>
      <c r="L967" s="39" t="s">
        <v>9</v>
      </c>
      <c r="N967" s="44">
        <v>45979</v>
      </c>
      <c r="O967" s="39">
        <v>5</v>
      </c>
      <c r="P967" s="39">
        <v>4</v>
      </c>
      <c r="Q967" s="39">
        <v>7</v>
      </c>
      <c r="R967" s="39">
        <v>7</v>
      </c>
      <c r="S967" s="51" t="str">
        <f t="shared" si="78"/>
        <v>Passive</v>
      </c>
    </row>
    <row r="968" ht="14.25" customHeight="1" spans="1:19">
      <c r="A968" s="43" t="s">
        <v>1010</v>
      </c>
      <c r="B968" s="43" t="s">
        <v>14</v>
      </c>
      <c r="C968" s="43" t="s">
        <v>22</v>
      </c>
      <c r="D968" s="44">
        <v>45933</v>
      </c>
      <c r="E968" s="44">
        <v>45938</v>
      </c>
      <c r="F968" s="44">
        <v>45940</v>
      </c>
      <c r="G968" s="44">
        <v>45943</v>
      </c>
      <c r="H968" s="45" t="str">
        <f t="shared" si="79"/>
        <v>Delivered</v>
      </c>
      <c r="I968" s="48">
        <f t="shared" si="75"/>
        <v>5</v>
      </c>
      <c r="J968" s="48">
        <f t="shared" si="76"/>
        <v>2</v>
      </c>
      <c r="K968" s="48">
        <f t="shared" si="77"/>
        <v>3</v>
      </c>
      <c r="L968" s="39" t="s">
        <v>9</v>
      </c>
      <c r="N968" s="44">
        <v>45967</v>
      </c>
      <c r="O968" s="39">
        <v>5</v>
      </c>
      <c r="P968" s="39">
        <v>2</v>
      </c>
      <c r="Q968" s="39">
        <v>3</v>
      </c>
      <c r="R968" s="39">
        <v>4</v>
      </c>
      <c r="S968" s="51" t="str">
        <f t="shared" si="78"/>
        <v>Detractor</v>
      </c>
    </row>
    <row r="969" ht="14.25" customHeight="1" spans="1:19">
      <c r="A969" s="43" t="s">
        <v>1011</v>
      </c>
      <c r="B969" s="43" t="s">
        <v>14</v>
      </c>
      <c r="C969" s="43" t="s">
        <v>22</v>
      </c>
      <c r="D969" s="44">
        <v>45935</v>
      </c>
      <c r="E969" s="44">
        <v>45939</v>
      </c>
      <c r="F969" s="44">
        <v>45944</v>
      </c>
      <c r="G969" s="44">
        <v>45948</v>
      </c>
      <c r="H969" s="45" t="str">
        <f t="shared" si="79"/>
        <v>Delivered</v>
      </c>
      <c r="I969" s="48">
        <f t="shared" si="75"/>
        <v>4</v>
      </c>
      <c r="J969" s="48">
        <f t="shared" si="76"/>
        <v>5</v>
      </c>
      <c r="K969" s="48">
        <f t="shared" si="77"/>
        <v>4</v>
      </c>
      <c r="L969" s="39" t="s">
        <v>9</v>
      </c>
      <c r="N969" s="44">
        <v>45963</v>
      </c>
      <c r="O969" s="39">
        <v>4</v>
      </c>
      <c r="P969" s="39">
        <v>5</v>
      </c>
      <c r="Q969" s="39">
        <v>4</v>
      </c>
      <c r="R969" s="39">
        <v>7</v>
      </c>
      <c r="S969" s="51" t="str">
        <f t="shared" si="78"/>
        <v>Passive</v>
      </c>
    </row>
    <row r="970" ht="14.25" customHeight="1" spans="1:19">
      <c r="A970" s="43" t="s">
        <v>1012</v>
      </c>
      <c r="B970" s="43" t="s">
        <v>13</v>
      </c>
      <c r="C970" s="43" t="s">
        <v>20</v>
      </c>
      <c r="D970" s="44">
        <v>45939</v>
      </c>
      <c r="H970" s="45" t="str">
        <f t="shared" si="79"/>
        <v>Cancelled</v>
      </c>
      <c r="I970" s="48">
        <f t="shared" si="75"/>
        <v>0</v>
      </c>
      <c r="J970" s="48">
        <f t="shared" si="76"/>
        <v>0</v>
      </c>
      <c r="K970" s="48">
        <f t="shared" si="77"/>
        <v>0</v>
      </c>
      <c r="L970" s="39" t="s">
        <v>10</v>
      </c>
      <c r="M970" s="39" t="s">
        <v>79</v>
      </c>
      <c r="S970" s="51" t="str">
        <f t="shared" si="78"/>
        <v>Detractor</v>
      </c>
    </row>
    <row r="971" ht="14.25" customHeight="1" spans="1:19">
      <c r="A971" s="43" t="s">
        <v>1013</v>
      </c>
      <c r="B971" s="43" t="s">
        <v>11</v>
      </c>
      <c r="C971" s="43" t="s">
        <v>22</v>
      </c>
      <c r="D971" s="44">
        <v>45950</v>
      </c>
      <c r="E971" s="44">
        <v>45955</v>
      </c>
      <c r="F971" s="44">
        <v>45959</v>
      </c>
      <c r="G971" s="44">
        <v>45965</v>
      </c>
      <c r="H971" s="45" t="str">
        <f t="shared" si="79"/>
        <v>Delivered</v>
      </c>
      <c r="I971" s="48">
        <f t="shared" si="75"/>
        <v>5</v>
      </c>
      <c r="J971" s="48">
        <f t="shared" si="76"/>
        <v>4</v>
      </c>
      <c r="K971" s="48">
        <f t="shared" si="77"/>
        <v>6</v>
      </c>
      <c r="L971" s="39" t="s">
        <v>9</v>
      </c>
      <c r="N971" s="44">
        <v>45994</v>
      </c>
      <c r="O971" s="39">
        <v>5</v>
      </c>
      <c r="P971" s="39">
        <v>4</v>
      </c>
      <c r="Q971" s="39">
        <v>6</v>
      </c>
      <c r="R971" s="39">
        <v>6</v>
      </c>
      <c r="S971" s="51" t="str">
        <f t="shared" si="78"/>
        <v>Detractor</v>
      </c>
    </row>
    <row r="972" ht="14.25" customHeight="1" spans="1:19">
      <c r="A972" s="43" t="s">
        <v>1014</v>
      </c>
      <c r="B972" s="43" t="s">
        <v>12</v>
      </c>
      <c r="C972" s="43" t="s">
        <v>21</v>
      </c>
      <c r="D972" s="44">
        <v>45951</v>
      </c>
      <c r="E972" s="44">
        <v>45952</v>
      </c>
      <c r="F972" s="44">
        <v>45955</v>
      </c>
      <c r="G972" s="44">
        <v>45962</v>
      </c>
      <c r="H972" s="45" t="str">
        <f t="shared" si="79"/>
        <v>Delivered</v>
      </c>
      <c r="I972" s="48">
        <f t="shared" si="75"/>
        <v>1</v>
      </c>
      <c r="J972" s="48">
        <f t="shared" si="76"/>
        <v>3</v>
      </c>
      <c r="K972" s="48">
        <f t="shared" si="77"/>
        <v>7</v>
      </c>
      <c r="L972" s="39" t="s">
        <v>9</v>
      </c>
      <c r="N972" s="44">
        <v>45984</v>
      </c>
      <c r="O972" s="39">
        <v>1</v>
      </c>
      <c r="P972" s="39">
        <v>3</v>
      </c>
      <c r="Q972" s="39">
        <v>7</v>
      </c>
      <c r="R972" s="39">
        <v>10</v>
      </c>
      <c r="S972" s="51" t="str">
        <f t="shared" si="78"/>
        <v>Promoter</v>
      </c>
    </row>
    <row r="973" ht="14.25" customHeight="1" spans="1:19">
      <c r="A973" s="43" t="s">
        <v>1015</v>
      </c>
      <c r="B973" s="43" t="s">
        <v>12</v>
      </c>
      <c r="C973" s="43" t="s">
        <v>20</v>
      </c>
      <c r="D973" s="44">
        <v>45949</v>
      </c>
      <c r="H973" s="45" t="str">
        <f t="shared" si="79"/>
        <v>Cancelled</v>
      </c>
      <c r="I973" s="48">
        <f t="shared" si="75"/>
        <v>0</v>
      </c>
      <c r="J973" s="48">
        <f t="shared" si="76"/>
        <v>0</v>
      </c>
      <c r="K973" s="48">
        <f t="shared" si="77"/>
        <v>0</v>
      </c>
      <c r="L973" s="39" t="s">
        <v>10</v>
      </c>
      <c r="M973" s="39" t="s">
        <v>117</v>
      </c>
      <c r="S973" s="51" t="str">
        <f t="shared" si="78"/>
        <v>Detractor</v>
      </c>
    </row>
    <row r="974" ht="14.25" customHeight="1" spans="1:19">
      <c r="A974" s="43" t="s">
        <v>1016</v>
      </c>
      <c r="B974" s="43" t="s">
        <v>14</v>
      </c>
      <c r="C974" s="43" t="s">
        <v>21</v>
      </c>
      <c r="D974" s="44">
        <v>45948</v>
      </c>
      <c r="E974" s="44">
        <v>45949</v>
      </c>
      <c r="F974" s="44">
        <v>45953</v>
      </c>
      <c r="G974" s="44">
        <v>45955</v>
      </c>
      <c r="H974" s="45" t="str">
        <f t="shared" si="79"/>
        <v>Delivered</v>
      </c>
      <c r="I974" s="48">
        <f t="shared" si="75"/>
        <v>1</v>
      </c>
      <c r="J974" s="48">
        <f t="shared" si="76"/>
        <v>4</v>
      </c>
      <c r="K974" s="48">
        <f t="shared" si="77"/>
        <v>2</v>
      </c>
      <c r="L974" s="39" t="s">
        <v>9</v>
      </c>
      <c r="N974" s="44">
        <v>45976</v>
      </c>
      <c r="O974" s="39">
        <v>1</v>
      </c>
      <c r="P974" s="39">
        <v>4</v>
      </c>
      <c r="Q974" s="39">
        <v>2</v>
      </c>
      <c r="R974" s="39">
        <v>10</v>
      </c>
      <c r="S974" s="51" t="str">
        <f t="shared" si="78"/>
        <v>Promoter</v>
      </c>
    </row>
    <row r="975" ht="14.25" customHeight="1" spans="1:19">
      <c r="A975" s="43" t="s">
        <v>1017</v>
      </c>
      <c r="B975" s="43" t="s">
        <v>13</v>
      </c>
      <c r="C975" s="43" t="s">
        <v>22</v>
      </c>
      <c r="D975" s="44">
        <v>45953</v>
      </c>
      <c r="E975" s="44">
        <v>45954</v>
      </c>
      <c r="F975" s="44">
        <v>45955</v>
      </c>
      <c r="G975" s="44">
        <v>45958</v>
      </c>
      <c r="H975" s="45" t="str">
        <f t="shared" si="79"/>
        <v>Delivered</v>
      </c>
      <c r="I975" s="48">
        <f t="shared" si="75"/>
        <v>1</v>
      </c>
      <c r="J975" s="48">
        <f t="shared" si="76"/>
        <v>1</v>
      </c>
      <c r="K975" s="48">
        <f t="shared" si="77"/>
        <v>3</v>
      </c>
      <c r="L975" s="39" t="s">
        <v>9</v>
      </c>
      <c r="N975" s="44">
        <v>45987</v>
      </c>
      <c r="O975" s="39">
        <v>1</v>
      </c>
      <c r="P975" s="39">
        <v>1</v>
      </c>
      <c r="Q975" s="39">
        <v>3</v>
      </c>
      <c r="R975" s="39">
        <v>9</v>
      </c>
      <c r="S975" s="51" t="str">
        <f t="shared" si="78"/>
        <v>Promoter</v>
      </c>
    </row>
    <row r="976" ht="14.25" customHeight="1" spans="1:19">
      <c r="A976" s="43" t="s">
        <v>1018</v>
      </c>
      <c r="B976" s="43" t="s">
        <v>13</v>
      </c>
      <c r="C976" s="43" t="s">
        <v>22</v>
      </c>
      <c r="D976" s="44">
        <v>45941</v>
      </c>
      <c r="E976" s="44">
        <v>45943</v>
      </c>
      <c r="F976" s="44">
        <v>45947</v>
      </c>
      <c r="G976" s="44">
        <v>45953</v>
      </c>
      <c r="H976" s="45" t="str">
        <f t="shared" si="79"/>
        <v>Delivered</v>
      </c>
      <c r="I976" s="48">
        <f t="shared" si="75"/>
        <v>2</v>
      </c>
      <c r="J976" s="48">
        <f t="shared" si="76"/>
        <v>4</v>
      </c>
      <c r="K976" s="48">
        <f t="shared" si="77"/>
        <v>6</v>
      </c>
      <c r="L976" s="39" t="s">
        <v>9</v>
      </c>
      <c r="N976" s="44">
        <v>45963</v>
      </c>
      <c r="O976" s="39">
        <v>2</v>
      </c>
      <c r="P976" s="39">
        <v>4</v>
      </c>
      <c r="Q976" s="39">
        <v>6</v>
      </c>
      <c r="R976" s="39">
        <v>7</v>
      </c>
      <c r="S976" s="51" t="str">
        <f t="shared" si="78"/>
        <v>Passive</v>
      </c>
    </row>
    <row r="977" ht="14.25" customHeight="1" spans="1:19">
      <c r="A977" s="43" t="s">
        <v>1019</v>
      </c>
      <c r="B977" s="43" t="s">
        <v>13</v>
      </c>
      <c r="C977" s="43" t="s">
        <v>22</v>
      </c>
      <c r="D977" s="44">
        <v>45943</v>
      </c>
      <c r="E977" s="44">
        <v>45946</v>
      </c>
      <c r="F977" s="44">
        <v>45950</v>
      </c>
      <c r="G977" s="44">
        <v>45955</v>
      </c>
      <c r="H977" s="45" t="str">
        <f t="shared" si="79"/>
        <v>Delivered</v>
      </c>
      <c r="I977" s="48">
        <f t="shared" si="75"/>
        <v>3</v>
      </c>
      <c r="J977" s="48">
        <f t="shared" si="76"/>
        <v>4</v>
      </c>
      <c r="K977" s="48">
        <f t="shared" si="77"/>
        <v>5</v>
      </c>
      <c r="L977" s="39" t="s">
        <v>10</v>
      </c>
      <c r="M977" s="39" t="s">
        <v>44</v>
      </c>
      <c r="O977" s="39">
        <v>3</v>
      </c>
      <c r="P977" s="39">
        <v>4</v>
      </c>
      <c r="Q977" s="39">
        <v>5</v>
      </c>
      <c r="S977" s="51" t="str">
        <f t="shared" si="78"/>
        <v>Detractor</v>
      </c>
    </row>
    <row r="978" ht="14.25" customHeight="1" spans="1:19">
      <c r="A978" s="43" t="s">
        <v>1020</v>
      </c>
      <c r="B978" s="43" t="s">
        <v>12</v>
      </c>
      <c r="C978" s="43" t="s">
        <v>22</v>
      </c>
      <c r="D978" s="44">
        <v>45950</v>
      </c>
      <c r="E978" s="44">
        <v>45954</v>
      </c>
      <c r="F978" s="44">
        <v>45957</v>
      </c>
      <c r="G978" s="44">
        <v>45961</v>
      </c>
      <c r="H978" s="45" t="str">
        <f t="shared" si="79"/>
        <v>Delivered</v>
      </c>
      <c r="I978" s="48">
        <f t="shared" si="75"/>
        <v>4</v>
      </c>
      <c r="J978" s="48">
        <f t="shared" si="76"/>
        <v>3</v>
      </c>
      <c r="K978" s="48">
        <f t="shared" si="77"/>
        <v>4</v>
      </c>
      <c r="L978" s="39" t="s">
        <v>10</v>
      </c>
      <c r="M978" s="39" t="s">
        <v>117</v>
      </c>
      <c r="O978" s="39">
        <v>4</v>
      </c>
      <c r="P978" s="39">
        <v>3</v>
      </c>
      <c r="Q978" s="39">
        <v>4</v>
      </c>
      <c r="S978" s="51" t="str">
        <f t="shared" si="78"/>
        <v>Detractor</v>
      </c>
    </row>
    <row r="979" ht="14.25" customHeight="1" spans="1:19">
      <c r="A979" s="43" t="s">
        <v>1021</v>
      </c>
      <c r="B979" s="43" t="s">
        <v>14</v>
      </c>
      <c r="C979" s="43" t="s">
        <v>20</v>
      </c>
      <c r="D979" s="44">
        <v>45947</v>
      </c>
      <c r="H979" s="45" t="str">
        <f t="shared" si="79"/>
        <v>Cancelled</v>
      </c>
      <c r="I979" s="48">
        <f t="shared" si="75"/>
        <v>0</v>
      </c>
      <c r="J979" s="48">
        <f t="shared" si="76"/>
        <v>0</v>
      </c>
      <c r="K979" s="48">
        <f t="shared" si="77"/>
        <v>0</v>
      </c>
      <c r="L979" s="39" t="s">
        <v>10</v>
      </c>
      <c r="M979" s="39" t="s">
        <v>79</v>
      </c>
      <c r="S979" s="51" t="str">
        <f t="shared" si="78"/>
        <v>Detractor</v>
      </c>
    </row>
    <row r="980" ht="14.25" customHeight="1" spans="1:19">
      <c r="A980" s="43" t="s">
        <v>1022</v>
      </c>
      <c r="B980" s="43" t="s">
        <v>11</v>
      </c>
      <c r="C980" s="43" t="s">
        <v>22</v>
      </c>
      <c r="D980" s="44">
        <v>45940</v>
      </c>
      <c r="E980" s="44">
        <v>45945</v>
      </c>
      <c r="F980" s="44">
        <v>45946</v>
      </c>
      <c r="G980" s="44">
        <v>45949</v>
      </c>
      <c r="H980" s="45" t="str">
        <f t="shared" si="79"/>
        <v>Delivered</v>
      </c>
      <c r="I980" s="48">
        <f t="shared" si="75"/>
        <v>5</v>
      </c>
      <c r="J980" s="48">
        <f t="shared" si="76"/>
        <v>1</v>
      </c>
      <c r="K980" s="48">
        <f t="shared" si="77"/>
        <v>3</v>
      </c>
      <c r="L980" s="39" t="s">
        <v>9</v>
      </c>
      <c r="N980" s="44">
        <v>45963</v>
      </c>
      <c r="O980" s="39">
        <v>5</v>
      </c>
      <c r="P980" s="39">
        <v>1</v>
      </c>
      <c r="Q980" s="39">
        <v>3</v>
      </c>
      <c r="R980" s="39">
        <v>8</v>
      </c>
      <c r="S980" s="51" t="str">
        <f t="shared" si="78"/>
        <v>Passive</v>
      </c>
    </row>
    <row r="981" ht="14.25" customHeight="1" spans="1:19">
      <c r="A981" s="43" t="s">
        <v>1023</v>
      </c>
      <c r="B981" s="43" t="s">
        <v>12</v>
      </c>
      <c r="C981" s="43" t="s">
        <v>22</v>
      </c>
      <c r="D981" s="44">
        <v>45945</v>
      </c>
      <c r="E981" s="44">
        <v>45949</v>
      </c>
      <c r="F981" s="44">
        <v>45952</v>
      </c>
      <c r="G981" s="44">
        <v>45955</v>
      </c>
      <c r="H981" s="45" t="str">
        <f t="shared" si="79"/>
        <v>Delivered</v>
      </c>
      <c r="I981" s="48">
        <f t="shared" si="75"/>
        <v>4</v>
      </c>
      <c r="J981" s="48">
        <f t="shared" si="76"/>
        <v>3</v>
      </c>
      <c r="K981" s="48">
        <f t="shared" si="77"/>
        <v>3</v>
      </c>
      <c r="L981" s="39" t="s">
        <v>9</v>
      </c>
      <c r="N981" s="44">
        <v>45980</v>
      </c>
      <c r="O981" s="39">
        <v>4</v>
      </c>
      <c r="P981" s="39">
        <v>3</v>
      </c>
      <c r="Q981" s="39">
        <v>3</v>
      </c>
      <c r="R981" s="39">
        <v>5</v>
      </c>
      <c r="S981" s="51" t="str">
        <f t="shared" si="78"/>
        <v>Detractor</v>
      </c>
    </row>
    <row r="982" ht="14.25" customHeight="1" spans="1:19">
      <c r="A982" s="43" t="s">
        <v>1024</v>
      </c>
      <c r="B982" s="43" t="s">
        <v>14</v>
      </c>
      <c r="C982" s="43" t="s">
        <v>21</v>
      </c>
      <c r="D982" s="44">
        <v>45947</v>
      </c>
      <c r="E982" s="44">
        <v>45949</v>
      </c>
      <c r="F982" s="44">
        <v>45950</v>
      </c>
      <c r="G982" s="44">
        <v>45953</v>
      </c>
      <c r="H982" s="45" t="str">
        <f t="shared" si="79"/>
        <v>Delivered</v>
      </c>
      <c r="I982" s="48">
        <f t="shared" si="75"/>
        <v>2</v>
      </c>
      <c r="J982" s="48">
        <f t="shared" si="76"/>
        <v>1</v>
      </c>
      <c r="K982" s="48">
        <f t="shared" si="77"/>
        <v>3</v>
      </c>
      <c r="L982" s="39" t="s">
        <v>9</v>
      </c>
      <c r="N982" s="44">
        <v>45978</v>
      </c>
      <c r="O982" s="39">
        <v>2</v>
      </c>
      <c r="P982" s="39">
        <v>1</v>
      </c>
      <c r="Q982" s="39">
        <v>3</v>
      </c>
      <c r="R982" s="39">
        <v>0</v>
      </c>
      <c r="S982" s="51" t="str">
        <f t="shared" si="78"/>
        <v>Detractor</v>
      </c>
    </row>
    <row r="983" ht="14.25" customHeight="1" spans="1:19">
      <c r="A983" s="43" t="s">
        <v>1025</v>
      </c>
      <c r="B983" s="43" t="s">
        <v>14</v>
      </c>
      <c r="C983" s="43" t="s">
        <v>20</v>
      </c>
      <c r="D983" s="44">
        <v>45950</v>
      </c>
      <c r="H983" s="45" t="str">
        <f t="shared" si="79"/>
        <v>Cancelled</v>
      </c>
      <c r="I983" s="48">
        <f t="shared" si="75"/>
        <v>0</v>
      </c>
      <c r="J983" s="48">
        <f t="shared" si="76"/>
        <v>0</v>
      </c>
      <c r="K983" s="48">
        <f t="shared" si="77"/>
        <v>0</v>
      </c>
      <c r="L983" s="39" t="s">
        <v>10</v>
      </c>
      <c r="M983" s="39" t="s">
        <v>42</v>
      </c>
      <c r="S983" s="51" t="str">
        <f t="shared" si="78"/>
        <v>Detractor</v>
      </c>
    </row>
    <row r="984" ht="14.25" customHeight="1" spans="1:19">
      <c r="A984" s="43" t="s">
        <v>1026</v>
      </c>
      <c r="B984" s="43" t="s">
        <v>11</v>
      </c>
      <c r="C984" s="43" t="s">
        <v>20</v>
      </c>
      <c r="D984" s="44">
        <v>45944</v>
      </c>
      <c r="H984" s="45" t="str">
        <f t="shared" si="79"/>
        <v>Cancelled</v>
      </c>
      <c r="I984" s="48">
        <f t="shared" si="75"/>
        <v>0</v>
      </c>
      <c r="J984" s="48">
        <f t="shared" si="76"/>
        <v>0</v>
      </c>
      <c r="K984" s="48">
        <f t="shared" si="77"/>
        <v>0</v>
      </c>
      <c r="L984" s="39" t="s">
        <v>10</v>
      </c>
      <c r="M984" s="39" t="s">
        <v>79</v>
      </c>
      <c r="S984" s="51" t="str">
        <f t="shared" si="78"/>
        <v>Detractor</v>
      </c>
    </row>
    <row r="985" ht="14.25" customHeight="1" spans="1:19">
      <c r="A985" s="43" t="s">
        <v>1027</v>
      </c>
      <c r="B985" s="43" t="s">
        <v>11</v>
      </c>
      <c r="C985" s="43" t="s">
        <v>22</v>
      </c>
      <c r="D985" s="44">
        <v>45934</v>
      </c>
      <c r="E985" s="44">
        <v>45939</v>
      </c>
      <c r="F985" s="44">
        <v>45940</v>
      </c>
      <c r="G985" s="44">
        <v>45946</v>
      </c>
      <c r="H985" s="45" t="str">
        <f t="shared" si="79"/>
        <v>Delivered</v>
      </c>
      <c r="I985" s="48">
        <f t="shared" si="75"/>
        <v>5</v>
      </c>
      <c r="J985" s="48">
        <f t="shared" si="76"/>
        <v>1</v>
      </c>
      <c r="K985" s="48">
        <f t="shared" si="77"/>
        <v>6</v>
      </c>
      <c r="L985" s="39" t="s">
        <v>9</v>
      </c>
      <c r="N985" s="44">
        <v>45959</v>
      </c>
      <c r="O985" s="39">
        <v>5</v>
      </c>
      <c r="P985" s="39">
        <v>1</v>
      </c>
      <c r="Q985" s="39">
        <v>6</v>
      </c>
      <c r="R985" s="39">
        <v>2</v>
      </c>
      <c r="S985" s="51" t="str">
        <f t="shared" si="78"/>
        <v>Detractor</v>
      </c>
    </row>
    <row r="986" ht="14.25" customHeight="1" spans="1:19">
      <c r="A986" s="43" t="s">
        <v>1028</v>
      </c>
      <c r="B986" s="43" t="s">
        <v>11</v>
      </c>
      <c r="C986" s="43" t="s">
        <v>21</v>
      </c>
      <c r="D986" s="44">
        <v>45956</v>
      </c>
      <c r="E986" s="44">
        <v>45961</v>
      </c>
      <c r="F986" s="44">
        <v>45962</v>
      </c>
      <c r="G986" s="44">
        <v>45966</v>
      </c>
      <c r="H986" s="45" t="str">
        <f t="shared" si="79"/>
        <v>Delivered</v>
      </c>
      <c r="I986" s="48">
        <f t="shared" si="75"/>
        <v>5</v>
      </c>
      <c r="J986" s="48">
        <f t="shared" si="76"/>
        <v>1</v>
      </c>
      <c r="K986" s="48">
        <f t="shared" si="77"/>
        <v>4</v>
      </c>
      <c r="L986" s="39" t="s">
        <v>9</v>
      </c>
      <c r="N986" s="44">
        <v>45989</v>
      </c>
      <c r="O986" s="39">
        <v>5</v>
      </c>
      <c r="P986" s="39">
        <v>1</v>
      </c>
      <c r="Q986" s="39">
        <v>4</v>
      </c>
      <c r="R986" s="39">
        <v>2</v>
      </c>
      <c r="S986" s="51" t="str">
        <f t="shared" si="78"/>
        <v>Detractor</v>
      </c>
    </row>
    <row r="987" ht="14.25" customHeight="1" spans="1:19">
      <c r="A987" s="43" t="s">
        <v>1029</v>
      </c>
      <c r="B987" s="43" t="s">
        <v>13</v>
      </c>
      <c r="C987" s="43" t="s">
        <v>21</v>
      </c>
      <c r="D987" s="44">
        <v>45953</v>
      </c>
      <c r="E987" s="44">
        <v>45955</v>
      </c>
      <c r="F987" s="44">
        <v>45958</v>
      </c>
      <c r="G987" s="44">
        <v>45965</v>
      </c>
      <c r="H987" s="45" t="str">
        <f t="shared" si="79"/>
        <v>Delivered</v>
      </c>
      <c r="I987" s="48">
        <f t="shared" si="75"/>
        <v>2</v>
      </c>
      <c r="J987" s="48">
        <f t="shared" si="76"/>
        <v>3</v>
      </c>
      <c r="K987" s="48">
        <f t="shared" si="77"/>
        <v>7</v>
      </c>
      <c r="L987" s="39" t="s">
        <v>9</v>
      </c>
      <c r="N987" s="44">
        <v>45989</v>
      </c>
      <c r="O987" s="39">
        <v>2</v>
      </c>
      <c r="P987" s="39">
        <v>3</v>
      </c>
      <c r="Q987" s="39">
        <v>7</v>
      </c>
      <c r="R987" s="39">
        <v>7</v>
      </c>
      <c r="S987" s="51" t="str">
        <f t="shared" si="78"/>
        <v>Passive</v>
      </c>
    </row>
    <row r="988" ht="14.25" customHeight="1" spans="1:19">
      <c r="A988" s="43" t="s">
        <v>1030</v>
      </c>
      <c r="B988" s="43" t="s">
        <v>11</v>
      </c>
      <c r="C988" s="43" t="s">
        <v>21</v>
      </c>
      <c r="D988" s="44">
        <v>45934</v>
      </c>
      <c r="E988" s="44">
        <v>45937</v>
      </c>
      <c r="F988" s="44">
        <v>45938</v>
      </c>
      <c r="G988" s="44">
        <v>45945</v>
      </c>
      <c r="H988" s="45" t="str">
        <f t="shared" si="79"/>
        <v>Delivered</v>
      </c>
      <c r="I988" s="48">
        <f t="shared" si="75"/>
        <v>3</v>
      </c>
      <c r="J988" s="48">
        <f t="shared" si="76"/>
        <v>1</v>
      </c>
      <c r="K988" s="48">
        <f t="shared" si="77"/>
        <v>7</v>
      </c>
      <c r="L988" s="39" t="s">
        <v>9</v>
      </c>
      <c r="N988" s="44">
        <v>45956</v>
      </c>
      <c r="O988" s="39">
        <v>3</v>
      </c>
      <c r="P988" s="39">
        <v>1</v>
      </c>
      <c r="Q988" s="39">
        <v>7</v>
      </c>
      <c r="R988" s="39">
        <v>8</v>
      </c>
      <c r="S988" s="51" t="str">
        <f t="shared" si="78"/>
        <v>Passive</v>
      </c>
    </row>
    <row r="989" ht="14.25" customHeight="1" spans="1:19">
      <c r="A989" s="43" t="s">
        <v>1031</v>
      </c>
      <c r="B989" s="43" t="s">
        <v>14</v>
      </c>
      <c r="C989" s="43" t="s">
        <v>21</v>
      </c>
      <c r="D989" s="44">
        <v>45958</v>
      </c>
      <c r="E989" s="44">
        <v>45963</v>
      </c>
      <c r="F989" s="44">
        <v>45965</v>
      </c>
      <c r="G989" s="44">
        <v>45969</v>
      </c>
      <c r="H989" s="45" t="str">
        <f t="shared" si="79"/>
        <v>Delivered</v>
      </c>
      <c r="I989" s="48">
        <f t="shared" si="75"/>
        <v>5</v>
      </c>
      <c r="J989" s="48">
        <f t="shared" si="76"/>
        <v>2</v>
      </c>
      <c r="K989" s="48">
        <f t="shared" si="77"/>
        <v>4</v>
      </c>
      <c r="L989" s="39" t="s">
        <v>9</v>
      </c>
      <c r="N989" s="44">
        <v>45981</v>
      </c>
      <c r="O989" s="39">
        <v>5</v>
      </c>
      <c r="P989" s="39">
        <v>2</v>
      </c>
      <c r="Q989" s="39">
        <v>4</v>
      </c>
      <c r="R989" s="39">
        <v>0</v>
      </c>
      <c r="S989" s="51" t="str">
        <f t="shared" si="78"/>
        <v>Detractor</v>
      </c>
    </row>
    <row r="990" ht="14.25" customHeight="1" spans="1:19">
      <c r="A990" s="43" t="s">
        <v>1032</v>
      </c>
      <c r="B990" s="43" t="s">
        <v>11</v>
      </c>
      <c r="C990" s="43" t="s">
        <v>22</v>
      </c>
      <c r="D990" s="44">
        <v>45951</v>
      </c>
      <c r="E990" s="44">
        <v>45954</v>
      </c>
      <c r="F990" s="44">
        <v>45956</v>
      </c>
      <c r="G990" s="44">
        <v>45962</v>
      </c>
      <c r="H990" s="45" t="str">
        <f t="shared" si="79"/>
        <v>Delivered</v>
      </c>
      <c r="I990" s="48">
        <f t="shared" si="75"/>
        <v>3</v>
      </c>
      <c r="J990" s="48">
        <f t="shared" si="76"/>
        <v>2</v>
      </c>
      <c r="K990" s="48">
        <f t="shared" si="77"/>
        <v>6</v>
      </c>
      <c r="L990" s="39" t="s">
        <v>9</v>
      </c>
      <c r="N990" s="44">
        <v>45980</v>
      </c>
      <c r="O990" s="39">
        <v>3</v>
      </c>
      <c r="P990" s="39">
        <v>2</v>
      </c>
      <c r="Q990" s="39">
        <v>6</v>
      </c>
      <c r="R990" s="39">
        <v>4</v>
      </c>
      <c r="S990" s="51" t="str">
        <f t="shared" si="78"/>
        <v>Detractor</v>
      </c>
    </row>
    <row r="991" ht="14.25" customHeight="1" spans="1:19">
      <c r="A991" s="43" t="s">
        <v>1033</v>
      </c>
      <c r="B991" s="43" t="s">
        <v>14</v>
      </c>
      <c r="C991" s="43" t="s">
        <v>20</v>
      </c>
      <c r="D991" s="44">
        <v>45951</v>
      </c>
      <c r="H991" s="45" t="str">
        <f t="shared" si="79"/>
        <v>Cancelled</v>
      </c>
      <c r="I991" s="48">
        <f t="shared" si="75"/>
        <v>0</v>
      </c>
      <c r="J991" s="48">
        <f t="shared" si="76"/>
        <v>0</v>
      </c>
      <c r="K991" s="48">
        <f t="shared" si="77"/>
        <v>0</v>
      </c>
      <c r="L991" s="39" t="s">
        <v>10</v>
      </c>
      <c r="M991" s="39" t="s">
        <v>44</v>
      </c>
      <c r="S991" s="51" t="str">
        <f t="shared" si="78"/>
        <v>Detractor</v>
      </c>
    </row>
    <row r="992" ht="14.25" customHeight="1" spans="1:19">
      <c r="A992" s="43" t="s">
        <v>1034</v>
      </c>
      <c r="B992" s="43" t="s">
        <v>12</v>
      </c>
      <c r="C992" s="43" t="s">
        <v>22</v>
      </c>
      <c r="D992" s="44">
        <v>45959</v>
      </c>
      <c r="E992" s="44">
        <v>45961</v>
      </c>
      <c r="F992" s="44">
        <v>45966</v>
      </c>
      <c r="G992" s="44">
        <v>45968</v>
      </c>
      <c r="H992" s="45" t="str">
        <f t="shared" si="79"/>
        <v>Delivered</v>
      </c>
      <c r="I992" s="48">
        <f t="shared" si="75"/>
        <v>2</v>
      </c>
      <c r="J992" s="48">
        <f t="shared" si="76"/>
        <v>5</v>
      </c>
      <c r="K992" s="48">
        <f t="shared" si="77"/>
        <v>2</v>
      </c>
      <c r="L992" s="39" t="s">
        <v>9</v>
      </c>
      <c r="N992" s="44">
        <v>45998</v>
      </c>
      <c r="O992" s="39">
        <v>2</v>
      </c>
      <c r="P992" s="39">
        <v>5</v>
      </c>
      <c r="Q992" s="39">
        <v>2</v>
      </c>
      <c r="R992" s="39">
        <v>6</v>
      </c>
      <c r="S992" s="51" t="str">
        <f t="shared" si="78"/>
        <v>Detractor</v>
      </c>
    </row>
    <row r="993" ht="14.25" customHeight="1" spans="1:19">
      <c r="A993" s="43" t="s">
        <v>1035</v>
      </c>
      <c r="B993" s="43" t="s">
        <v>13</v>
      </c>
      <c r="C993" s="43" t="s">
        <v>21</v>
      </c>
      <c r="D993" s="44">
        <v>45955</v>
      </c>
      <c r="E993" s="44">
        <v>45959</v>
      </c>
      <c r="F993" s="44">
        <v>45961</v>
      </c>
      <c r="G993" s="44">
        <v>45968</v>
      </c>
      <c r="H993" s="45" t="str">
        <f t="shared" si="79"/>
        <v>Delivered</v>
      </c>
      <c r="I993" s="48">
        <f t="shared" si="75"/>
        <v>4</v>
      </c>
      <c r="J993" s="48">
        <f t="shared" si="76"/>
        <v>2</v>
      </c>
      <c r="K993" s="48">
        <f t="shared" si="77"/>
        <v>7</v>
      </c>
      <c r="L993" s="39" t="s">
        <v>9</v>
      </c>
      <c r="N993" s="44">
        <v>45988</v>
      </c>
      <c r="O993" s="39">
        <v>4</v>
      </c>
      <c r="P993" s="39">
        <v>2</v>
      </c>
      <c r="Q993" s="39">
        <v>7</v>
      </c>
      <c r="R993" s="39">
        <v>3</v>
      </c>
      <c r="S993" s="51" t="str">
        <f t="shared" si="78"/>
        <v>Detractor</v>
      </c>
    </row>
    <row r="994" ht="14.25" customHeight="1" spans="1:19">
      <c r="A994" s="43" t="s">
        <v>1036</v>
      </c>
      <c r="B994" s="43" t="s">
        <v>12</v>
      </c>
      <c r="C994" s="43" t="s">
        <v>21</v>
      </c>
      <c r="D994" s="44">
        <v>45948</v>
      </c>
      <c r="E994" s="44">
        <v>45953</v>
      </c>
      <c r="F994" s="44">
        <v>45958</v>
      </c>
      <c r="G994" s="44">
        <v>45965</v>
      </c>
      <c r="H994" s="45" t="str">
        <f t="shared" si="79"/>
        <v>Delivered</v>
      </c>
      <c r="I994" s="48">
        <f t="shared" si="75"/>
        <v>5</v>
      </c>
      <c r="J994" s="48">
        <f t="shared" si="76"/>
        <v>5</v>
      </c>
      <c r="K994" s="48">
        <f t="shared" si="77"/>
        <v>7</v>
      </c>
      <c r="L994" s="39" t="s">
        <v>9</v>
      </c>
      <c r="N994" s="44">
        <v>45975</v>
      </c>
      <c r="O994" s="39">
        <v>5</v>
      </c>
      <c r="P994" s="39">
        <v>5</v>
      </c>
      <c r="Q994" s="39">
        <v>7</v>
      </c>
      <c r="R994" s="39">
        <v>5</v>
      </c>
      <c r="S994" s="51" t="str">
        <f t="shared" si="78"/>
        <v>Detractor</v>
      </c>
    </row>
    <row r="995" ht="14.25" customHeight="1" spans="1:19">
      <c r="A995" s="43" t="s">
        <v>1037</v>
      </c>
      <c r="B995" s="43" t="s">
        <v>12</v>
      </c>
      <c r="C995" s="43" t="s">
        <v>21</v>
      </c>
      <c r="D995" s="44">
        <v>45954</v>
      </c>
      <c r="E995" s="44">
        <v>45957</v>
      </c>
      <c r="F995" s="44">
        <v>45959</v>
      </c>
      <c r="G995" s="44">
        <v>45963</v>
      </c>
      <c r="H995" s="45" t="str">
        <f t="shared" si="79"/>
        <v>Delivered</v>
      </c>
      <c r="I995" s="48">
        <f t="shared" si="75"/>
        <v>3</v>
      </c>
      <c r="J995" s="48">
        <f t="shared" si="76"/>
        <v>2</v>
      </c>
      <c r="K995" s="48">
        <f t="shared" si="77"/>
        <v>4</v>
      </c>
      <c r="L995" s="39" t="s">
        <v>9</v>
      </c>
      <c r="N995" s="44">
        <v>45989</v>
      </c>
      <c r="O995" s="39">
        <v>3</v>
      </c>
      <c r="P995" s="39">
        <v>2</v>
      </c>
      <c r="Q995" s="39">
        <v>4</v>
      </c>
      <c r="R995" s="39">
        <v>7</v>
      </c>
      <c r="S995" s="51" t="str">
        <f t="shared" si="78"/>
        <v>Passive</v>
      </c>
    </row>
    <row r="996" ht="14.25" customHeight="1" spans="1:19">
      <c r="A996" s="43" t="s">
        <v>1038</v>
      </c>
      <c r="B996" s="43" t="s">
        <v>14</v>
      </c>
      <c r="C996" s="43" t="s">
        <v>21</v>
      </c>
      <c r="D996" s="44">
        <v>45958</v>
      </c>
      <c r="E996" s="44">
        <v>45963</v>
      </c>
      <c r="F996" s="44">
        <v>45966</v>
      </c>
      <c r="G996" s="44">
        <v>45972</v>
      </c>
      <c r="H996" s="45" t="str">
        <f t="shared" si="79"/>
        <v>Delivered</v>
      </c>
      <c r="I996" s="48">
        <f t="shared" si="75"/>
        <v>5</v>
      </c>
      <c r="J996" s="48">
        <f t="shared" si="76"/>
        <v>3</v>
      </c>
      <c r="K996" s="48">
        <f t="shared" si="77"/>
        <v>6</v>
      </c>
      <c r="L996" s="39" t="s">
        <v>9</v>
      </c>
      <c r="N996" s="44">
        <v>46000</v>
      </c>
      <c r="O996" s="39">
        <v>5</v>
      </c>
      <c r="P996" s="39">
        <v>3</v>
      </c>
      <c r="Q996" s="39">
        <v>6</v>
      </c>
      <c r="R996" s="39">
        <v>1</v>
      </c>
      <c r="S996" s="51" t="str">
        <f t="shared" si="78"/>
        <v>Detractor</v>
      </c>
    </row>
    <row r="997" ht="14.25" customHeight="1" spans="1:19">
      <c r="A997" s="43" t="s">
        <v>1039</v>
      </c>
      <c r="B997" s="43" t="s">
        <v>12</v>
      </c>
      <c r="C997" s="43" t="s">
        <v>21</v>
      </c>
      <c r="D997" s="44">
        <v>45937</v>
      </c>
      <c r="E997" s="44">
        <v>45940</v>
      </c>
      <c r="F997" s="44">
        <v>45945</v>
      </c>
      <c r="G997" s="44">
        <v>45951</v>
      </c>
      <c r="H997" s="45" t="str">
        <f t="shared" si="79"/>
        <v>Delivered</v>
      </c>
      <c r="I997" s="48">
        <f t="shared" si="75"/>
        <v>3</v>
      </c>
      <c r="J997" s="48">
        <f t="shared" si="76"/>
        <v>5</v>
      </c>
      <c r="K997" s="48">
        <f t="shared" si="77"/>
        <v>6</v>
      </c>
      <c r="L997" s="39" t="s">
        <v>9</v>
      </c>
      <c r="N997" s="44">
        <v>45979</v>
      </c>
      <c r="O997" s="39">
        <v>3</v>
      </c>
      <c r="P997" s="39">
        <v>5</v>
      </c>
      <c r="Q997" s="39">
        <v>6</v>
      </c>
      <c r="R997" s="39">
        <v>5</v>
      </c>
      <c r="S997" s="51" t="str">
        <f t="shared" si="78"/>
        <v>Detractor</v>
      </c>
    </row>
    <row r="998" ht="14.25" customHeight="1" spans="1:19">
      <c r="A998" s="43" t="s">
        <v>1040</v>
      </c>
      <c r="B998" s="43" t="s">
        <v>14</v>
      </c>
      <c r="C998" s="43" t="s">
        <v>21</v>
      </c>
      <c r="D998" s="44">
        <v>45944</v>
      </c>
      <c r="E998" s="44">
        <v>45949</v>
      </c>
      <c r="F998" s="44">
        <v>45953</v>
      </c>
      <c r="G998" s="44">
        <v>45956</v>
      </c>
      <c r="H998" s="45" t="str">
        <f t="shared" si="79"/>
        <v>Delivered</v>
      </c>
      <c r="I998" s="48">
        <f t="shared" si="75"/>
        <v>5</v>
      </c>
      <c r="J998" s="48">
        <f t="shared" si="76"/>
        <v>4</v>
      </c>
      <c r="K998" s="48">
        <f t="shared" si="77"/>
        <v>3</v>
      </c>
      <c r="L998" s="39" t="s">
        <v>9</v>
      </c>
      <c r="N998" s="44">
        <v>45973</v>
      </c>
      <c r="O998" s="39">
        <v>5</v>
      </c>
      <c r="P998" s="39">
        <v>4</v>
      </c>
      <c r="Q998" s="39">
        <v>3</v>
      </c>
      <c r="R998" s="39">
        <v>7</v>
      </c>
      <c r="S998" s="51" t="str">
        <f t="shared" si="78"/>
        <v>Passive</v>
      </c>
    </row>
    <row r="999" ht="14.25" customHeight="1" spans="1:19">
      <c r="A999" s="43" t="s">
        <v>1041</v>
      </c>
      <c r="B999" s="43" t="s">
        <v>11</v>
      </c>
      <c r="C999" s="43" t="s">
        <v>22</v>
      </c>
      <c r="D999" s="44">
        <v>45945</v>
      </c>
      <c r="E999" s="44">
        <v>45950</v>
      </c>
      <c r="F999" s="44">
        <v>45954</v>
      </c>
      <c r="G999" s="44">
        <v>45960</v>
      </c>
      <c r="H999" s="45" t="str">
        <f t="shared" si="79"/>
        <v>Delivered</v>
      </c>
      <c r="I999" s="48">
        <f t="shared" si="75"/>
        <v>5</v>
      </c>
      <c r="J999" s="48">
        <f t="shared" si="76"/>
        <v>4</v>
      </c>
      <c r="K999" s="48">
        <f t="shared" si="77"/>
        <v>6</v>
      </c>
      <c r="L999" s="39" t="s">
        <v>9</v>
      </c>
      <c r="N999" s="44">
        <v>45980</v>
      </c>
      <c r="O999" s="39">
        <v>5</v>
      </c>
      <c r="P999" s="39">
        <v>4</v>
      </c>
      <c r="Q999" s="39">
        <v>6</v>
      </c>
      <c r="R999" s="39">
        <v>3</v>
      </c>
      <c r="S999" s="51" t="str">
        <f t="shared" si="78"/>
        <v>Detractor</v>
      </c>
    </row>
    <row r="1000" ht="14.25" customHeight="1" spans="1:19">
      <c r="A1000" s="43" t="s">
        <v>1042</v>
      </c>
      <c r="B1000" s="43" t="s">
        <v>11</v>
      </c>
      <c r="C1000" s="43" t="s">
        <v>20</v>
      </c>
      <c r="D1000" s="44">
        <v>45959</v>
      </c>
      <c r="H1000" s="45" t="str">
        <f t="shared" si="79"/>
        <v>Cancelled</v>
      </c>
      <c r="I1000" s="48">
        <f t="shared" si="75"/>
        <v>0</v>
      </c>
      <c r="J1000" s="48">
        <f t="shared" si="76"/>
        <v>0</v>
      </c>
      <c r="K1000" s="48">
        <f t="shared" si="77"/>
        <v>0</v>
      </c>
      <c r="L1000" s="39" t="s">
        <v>10</v>
      </c>
      <c r="M1000" s="39" t="s">
        <v>49</v>
      </c>
      <c r="S1000" s="51" t="str">
        <f t="shared" si="78"/>
        <v>Detractor</v>
      </c>
    </row>
    <row r="1001" ht="14.25" customHeight="1" spans="1:19">
      <c r="A1001" s="43" t="s">
        <v>1043</v>
      </c>
      <c r="B1001" s="43" t="s">
        <v>14</v>
      </c>
      <c r="C1001" s="43" t="s">
        <v>22</v>
      </c>
      <c r="D1001" s="44">
        <v>45938</v>
      </c>
      <c r="E1001" s="44">
        <v>45943</v>
      </c>
      <c r="F1001" s="44">
        <v>45945</v>
      </c>
      <c r="G1001" s="44">
        <v>45948</v>
      </c>
      <c r="H1001" s="45" t="str">
        <f t="shared" si="79"/>
        <v>Delivered</v>
      </c>
      <c r="I1001" s="48">
        <f t="shared" si="75"/>
        <v>5</v>
      </c>
      <c r="J1001" s="48">
        <f t="shared" si="76"/>
        <v>2</v>
      </c>
      <c r="K1001" s="48">
        <f t="shared" si="77"/>
        <v>3</v>
      </c>
      <c r="L1001" s="39" t="s">
        <v>9</v>
      </c>
      <c r="N1001" s="44">
        <v>45974</v>
      </c>
      <c r="O1001" s="39">
        <v>5</v>
      </c>
      <c r="P1001" s="39">
        <v>2</v>
      </c>
      <c r="Q1001" s="39">
        <v>3</v>
      </c>
      <c r="R1001" s="39">
        <v>4</v>
      </c>
      <c r="S1001" s="51" t="str">
        <f t="shared" si="78"/>
        <v>Detractor</v>
      </c>
    </row>
    <row r="1004" customHeight="1" spans="3:11">
      <c r="C1004" s="51"/>
      <c r="H1004" s="52"/>
      <c r="K1004" s="48"/>
    </row>
  </sheetData>
  <autoFilter xmlns:etc="http://www.wps.cn/officeDocument/2017/etCustomData" ref="A1:R1001" etc:filterBottomFollowUsedRange="0">
    <extLst/>
  </autoFilter>
  <pageMargins left="0.7" right="0.7" top="0.75" bottom="0.75" header="0" footer="0"/>
  <pageSetup paperSize="1"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G9"/>
  <sheetViews>
    <sheetView zoomScale="80" zoomScaleNormal="80" workbookViewId="0">
      <selection activeCell="B14" sqref="B14"/>
    </sheetView>
  </sheetViews>
  <sheetFormatPr defaultColWidth="8.72727272727273" defaultRowHeight="14.5" outlineLevelCol="6"/>
  <cols>
    <col min="1" max="1" width="16.1818181818182"/>
    <col min="2" max="6" width="21.3636363636364"/>
    <col min="7" max="8" width="11.5454545454545"/>
  </cols>
  <sheetData>
    <row r="2" ht="15.5" spans="1:7">
      <c r="A2" s="35" t="s">
        <v>1044</v>
      </c>
      <c r="B2" s="35"/>
      <c r="C2" s="35"/>
      <c r="D2" s="35"/>
      <c r="E2" s="35"/>
      <c r="F2" s="35"/>
      <c r="G2" s="35"/>
    </row>
    <row r="3" spans="1:2">
      <c r="A3" t="s">
        <v>0</v>
      </c>
      <c r="B3" t="s">
        <v>32</v>
      </c>
    </row>
    <row r="4" spans="1:7">
      <c r="A4" t="s">
        <v>8</v>
      </c>
      <c r="B4" t="s">
        <v>49</v>
      </c>
      <c r="C4" t="s">
        <v>79</v>
      </c>
      <c r="D4" t="s">
        <v>44</v>
      </c>
      <c r="E4" t="s">
        <v>42</v>
      </c>
      <c r="F4" t="s">
        <v>117</v>
      </c>
      <c r="G4" t="s">
        <v>7</v>
      </c>
    </row>
    <row r="5" spans="1:7">
      <c r="A5" t="s">
        <v>11</v>
      </c>
      <c r="B5">
        <v>13</v>
      </c>
      <c r="C5">
        <v>14</v>
      </c>
      <c r="D5">
        <v>13</v>
      </c>
      <c r="E5">
        <v>22</v>
      </c>
      <c r="F5">
        <v>10</v>
      </c>
      <c r="G5">
        <v>72</v>
      </c>
    </row>
    <row r="6" spans="1:7">
      <c r="A6" t="s">
        <v>12</v>
      </c>
      <c r="B6">
        <v>15</v>
      </c>
      <c r="C6">
        <v>10</v>
      </c>
      <c r="D6">
        <v>8</v>
      </c>
      <c r="E6">
        <v>8</v>
      </c>
      <c r="F6">
        <v>18</v>
      </c>
      <c r="G6">
        <v>59</v>
      </c>
    </row>
    <row r="7" spans="1:7">
      <c r="A7" t="s">
        <v>13</v>
      </c>
      <c r="B7">
        <v>14</v>
      </c>
      <c r="C7">
        <v>21</v>
      </c>
      <c r="D7">
        <v>13</v>
      </c>
      <c r="E7">
        <v>13</v>
      </c>
      <c r="F7">
        <v>16</v>
      </c>
      <c r="G7">
        <v>77</v>
      </c>
    </row>
    <row r="8" spans="1:7">
      <c r="A8" t="s">
        <v>14</v>
      </c>
      <c r="B8">
        <v>9</v>
      </c>
      <c r="C8">
        <v>14</v>
      </c>
      <c r="D8">
        <v>9</v>
      </c>
      <c r="E8">
        <v>14</v>
      </c>
      <c r="F8">
        <v>17</v>
      </c>
      <c r="G8">
        <v>63</v>
      </c>
    </row>
    <row r="9" spans="1:7">
      <c r="A9" t="s">
        <v>7</v>
      </c>
      <c r="B9">
        <v>51</v>
      </c>
      <c r="C9">
        <v>59</v>
      </c>
      <c r="D9">
        <v>43</v>
      </c>
      <c r="E9">
        <v>57</v>
      </c>
      <c r="F9">
        <v>61</v>
      </c>
      <c r="G9">
        <v>271</v>
      </c>
    </row>
  </sheetData>
  <mergeCells count="1">
    <mergeCell ref="A2:G2"/>
  </mergeCells>
  <conditionalFormatting sqref="B5:G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L16"/>
  <sheetViews>
    <sheetView workbookViewId="0">
      <selection activeCell="D12" sqref="L17 A12:A16 D12:D16"/>
    </sheetView>
  </sheetViews>
  <sheetFormatPr defaultColWidth="8.72727272727273" defaultRowHeight="14.5"/>
  <cols>
    <col min="1" max="1" width="16.1818181818182"/>
    <col min="2" max="4" width="9.45454545454546"/>
    <col min="5" max="5" width="11.5454545454545"/>
    <col min="8" max="8" width="14.9090909090909" customWidth="1"/>
    <col min="9" max="9" width="9.72727272727273" customWidth="1"/>
    <col min="10" max="10" width="9.90909090909091" customWidth="1"/>
    <col min="11" max="12" width="14"/>
  </cols>
  <sheetData>
    <row r="2" ht="18.5" spans="1:12">
      <c r="A2" s="3" t="s">
        <v>1045</v>
      </c>
      <c r="B2" s="3"/>
      <c r="C2" s="3"/>
      <c r="D2" s="3"/>
      <c r="E2" s="3"/>
      <c r="F2" s="3"/>
      <c r="G2" s="3"/>
      <c r="H2" s="3"/>
      <c r="I2" s="3"/>
      <c r="J2" s="3"/>
      <c r="K2" s="3"/>
      <c r="L2" s="20"/>
    </row>
    <row r="3" spans="1:12">
      <c r="A3" s="4" t="s">
        <v>0</v>
      </c>
      <c r="B3" s="4" t="s">
        <v>38</v>
      </c>
      <c r="C3" s="4"/>
      <c r="D3" s="4"/>
      <c r="E3" s="4"/>
      <c r="F3" s="4"/>
      <c r="G3" s="4"/>
      <c r="H3" s="5" t="s">
        <v>1046</v>
      </c>
      <c r="I3" s="21" t="s">
        <v>1047</v>
      </c>
      <c r="J3" s="22" t="s">
        <v>1048</v>
      </c>
      <c r="K3" s="22" t="s">
        <v>1049</v>
      </c>
      <c r="L3" s="23" t="s">
        <v>1050</v>
      </c>
    </row>
    <row r="4" spans="1:12">
      <c r="A4" s="6" t="s">
        <v>8</v>
      </c>
      <c r="B4" s="6" t="s">
        <v>1051</v>
      </c>
      <c r="C4" s="6" t="s">
        <v>1052</v>
      </c>
      <c r="D4" s="6" t="s">
        <v>1053</v>
      </c>
      <c r="E4" s="6" t="s">
        <v>7</v>
      </c>
      <c r="F4" s="4"/>
      <c r="G4" s="4"/>
      <c r="H4" s="7" t="str">
        <f>A5</f>
        <v>Bangalore MBC</v>
      </c>
      <c r="I4" s="24">
        <f>D5</f>
        <v>23</v>
      </c>
      <c r="J4" s="25">
        <f>B5</f>
        <v>206</v>
      </c>
      <c r="K4" s="25">
        <f>E5</f>
        <v>263</v>
      </c>
      <c r="L4" s="26">
        <f>((D5-B5)/E5)*100</f>
        <v>-69.5817490494296</v>
      </c>
    </row>
    <row r="5" spans="1:12">
      <c r="A5" s="6" t="s">
        <v>11</v>
      </c>
      <c r="B5" s="4">
        <v>206</v>
      </c>
      <c r="C5" s="4">
        <v>34</v>
      </c>
      <c r="D5" s="4">
        <v>23</v>
      </c>
      <c r="E5" s="4">
        <v>263</v>
      </c>
      <c r="F5" s="4"/>
      <c r="G5" s="4"/>
      <c r="H5" s="7" t="str">
        <f>A6</f>
        <v>Chennai MBC</v>
      </c>
      <c r="I5" s="27">
        <f>D6</f>
        <v>28</v>
      </c>
      <c r="J5" s="28">
        <f>B6</f>
        <v>158</v>
      </c>
      <c r="K5" s="28">
        <f>E6</f>
        <v>212</v>
      </c>
      <c r="L5" s="29">
        <f>((D6-B6)/E6)*100</f>
        <v>-61.3207547169811</v>
      </c>
    </row>
    <row r="6" spans="1:12">
      <c r="A6" s="6" t="s">
        <v>12</v>
      </c>
      <c r="B6" s="4">
        <v>158</v>
      </c>
      <c r="C6" s="4">
        <v>26</v>
      </c>
      <c r="D6" s="4">
        <v>28</v>
      </c>
      <c r="E6" s="4">
        <v>212</v>
      </c>
      <c r="F6" s="4"/>
      <c r="G6" s="4"/>
      <c r="H6" s="7" t="str">
        <f>A7</f>
        <v>Delhi MBC</v>
      </c>
      <c r="I6" s="24">
        <f>D7</f>
        <v>30</v>
      </c>
      <c r="J6" s="25">
        <f>B7</f>
        <v>200</v>
      </c>
      <c r="K6" s="25">
        <f>E7</f>
        <v>263</v>
      </c>
      <c r="L6" s="26">
        <f>((D7-B7)/E7)*100</f>
        <v>-64.638783269962</v>
      </c>
    </row>
    <row r="7" spans="1:12">
      <c r="A7" s="6" t="s">
        <v>13</v>
      </c>
      <c r="B7" s="4">
        <v>200</v>
      </c>
      <c r="C7" s="4">
        <v>33</v>
      </c>
      <c r="D7" s="4">
        <v>30</v>
      </c>
      <c r="E7" s="4">
        <v>263</v>
      </c>
      <c r="F7" s="4"/>
      <c r="G7" s="4"/>
      <c r="H7" s="7" t="str">
        <f>A8</f>
        <v>Mumbai MBC</v>
      </c>
      <c r="I7" s="27">
        <f>D8</f>
        <v>23</v>
      </c>
      <c r="J7" s="28">
        <f>B8</f>
        <v>201</v>
      </c>
      <c r="K7" s="28">
        <f>E8</f>
        <v>262</v>
      </c>
      <c r="L7" s="29">
        <f>((D8-B8)/E8)*100</f>
        <v>-67.9389312977099</v>
      </c>
    </row>
    <row r="8" spans="1:12">
      <c r="A8" s="6" t="s">
        <v>14</v>
      </c>
      <c r="B8" s="4">
        <v>201</v>
      </c>
      <c r="C8" s="4">
        <v>38</v>
      </c>
      <c r="D8" s="4">
        <v>23</v>
      </c>
      <c r="E8" s="4">
        <v>262</v>
      </c>
      <c r="F8" s="4"/>
      <c r="G8" s="4"/>
      <c r="H8" s="8" t="str">
        <f>A9</f>
        <v>Grand Total</v>
      </c>
      <c r="I8" s="30">
        <f>D9</f>
        <v>104</v>
      </c>
      <c r="J8" s="31">
        <f>B9</f>
        <v>765</v>
      </c>
      <c r="K8" s="31">
        <f>E9</f>
        <v>1000</v>
      </c>
      <c r="L8" s="32">
        <f>((D9-B9)/E9)*100</f>
        <v>-66.1</v>
      </c>
    </row>
    <row r="9" spans="1:12">
      <c r="A9" s="6" t="s">
        <v>7</v>
      </c>
      <c r="B9" s="4">
        <v>765</v>
      </c>
      <c r="C9" s="4">
        <v>131</v>
      </c>
      <c r="D9" s="4">
        <v>104</v>
      </c>
      <c r="E9" s="4">
        <v>1000</v>
      </c>
      <c r="F9" s="4"/>
      <c r="G9" s="4"/>
      <c r="H9" s="4"/>
      <c r="I9" s="4"/>
      <c r="J9" s="4"/>
      <c r="K9" s="4"/>
      <c r="L9" s="4"/>
    </row>
    <row r="12" spans="1:4">
      <c r="A12" s="9" t="s">
        <v>1054</v>
      </c>
      <c r="B12" s="10" t="s">
        <v>1055</v>
      </c>
      <c r="C12" s="10"/>
      <c r="D12" s="11" t="s">
        <v>1056</v>
      </c>
    </row>
    <row r="13" spans="1:11">
      <c r="A13" s="12" t="s">
        <v>1048</v>
      </c>
      <c r="B13" s="13">
        <v>765</v>
      </c>
      <c r="C13" s="13"/>
      <c r="D13" s="14">
        <f>B13/$B$16</f>
        <v>0.765</v>
      </c>
      <c r="J13" s="33"/>
      <c r="K13" s="33"/>
    </row>
    <row r="14" spans="1:11">
      <c r="A14" s="12" t="s">
        <v>1057</v>
      </c>
      <c r="B14" s="15">
        <f>COUNTIFS('Main data'!R:R,"&gt;=7",'Main data'!R:R,"&lt;=8")</f>
        <v>131</v>
      </c>
      <c r="C14" s="15"/>
      <c r="D14" s="16">
        <f>B14/$B$16</f>
        <v>0.131</v>
      </c>
      <c r="K14" s="34"/>
    </row>
    <row r="15" spans="1:4">
      <c r="A15" s="12" t="s">
        <v>1047</v>
      </c>
      <c r="B15" s="13">
        <f>COUNTIFS('Main data'!R:R,"&gt;=9")</f>
        <v>104</v>
      </c>
      <c r="C15" s="13"/>
      <c r="D15" s="14">
        <f>B15/$B$16</f>
        <v>0.104</v>
      </c>
    </row>
    <row r="16" spans="1:4">
      <c r="A16" s="17" t="s">
        <v>1049</v>
      </c>
      <c r="B16" s="18">
        <f>SUM(B13,B14,B15)</f>
        <v>1000</v>
      </c>
      <c r="C16" s="18"/>
      <c r="D16" s="19">
        <f>B16/$B$16</f>
        <v>1</v>
      </c>
    </row>
  </sheetData>
  <mergeCells count="6">
    <mergeCell ref="A2:L2"/>
    <mergeCell ref="B12:C12"/>
    <mergeCell ref="B13:C13"/>
    <mergeCell ref="B14:C14"/>
    <mergeCell ref="B15:C15"/>
    <mergeCell ref="B16:C16"/>
  </mergeCells>
  <conditionalFormatting sqref="I4:L8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5:E9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2:D1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3:C1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F17"/>
  <sheetViews>
    <sheetView workbookViewId="0">
      <selection activeCell="H6" sqref="H6"/>
    </sheetView>
  </sheetViews>
  <sheetFormatPr defaultColWidth="8.72727272727273" defaultRowHeight="14.5" outlineLevelCol="5"/>
  <cols>
    <col min="1" max="1" width="18.1818181818182" style="2"/>
    <col min="2" max="5" width="14.8181818181818"/>
    <col min="6" max="6" width="11.5454545454545"/>
  </cols>
  <sheetData>
    <row r="3" spans="1:2">
      <c r="A3" s="2" t="s">
        <v>0</v>
      </c>
      <c r="B3" t="s">
        <v>8</v>
      </c>
    </row>
    <row r="4" spans="1:6">
      <c r="A4" s="2" t="s">
        <v>37</v>
      </c>
      <c r="B4" t="s">
        <v>11</v>
      </c>
      <c r="C4" t="s">
        <v>12</v>
      </c>
      <c r="D4" t="s">
        <v>13</v>
      </c>
      <c r="E4" t="s">
        <v>14</v>
      </c>
      <c r="F4" t="s">
        <v>7</v>
      </c>
    </row>
    <row r="5" spans="1:6">
      <c r="A5" s="2">
        <v>0</v>
      </c>
      <c r="B5">
        <v>9</v>
      </c>
      <c r="C5">
        <v>9</v>
      </c>
      <c r="D5">
        <v>10</v>
      </c>
      <c r="E5">
        <v>8</v>
      </c>
      <c r="F5">
        <v>36</v>
      </c>
    </row>
    <row r="6" spans="1:6">
      <c r="A6" s="2">
        <v>1</v>
      </c>
      <c r="B6">
        <v>20</v>
      </c>
      <c r="C6">
        <v>18</v>
      </c>
      <c r="D6">
        <v>21</v>
      </c>
      <c r="E6">
        <v>17</v>
      </c>
      <c r="F6">
        <v>76</v>
      </c>
    </row>
    <row r="7" spans="1:6">
      <c r="A7" s="2">
        <v>2</v>
      </c>
      <c r="B7">
        <v>26</v>
      </c>
      <c r="C7">
        <v>11</v>
      </c>
      <c r="D7">
        <v>21</v>
      </c>
      <c r="E7">
        <v>25</v>
      </c>
      <c r="F7">
        <v>83</v>
      </c>
    </row>
    <row r="8" spans="1:6">
      <c r="A8" s="2">
        <v>3</v>
      </c>
      <c r="B8">
        <v>25</v>
      </c>
      <c r="C8">
        <v>16</v>
      </c>
      <c r="D8">
        <v>16</v>
      </c>
      <c r="E8">
        <v>20</v>
      </c>
      <c r="F8">
        <v>77</v>
      </c>
    </row>
    <row r="9" spans="1:6">
      <c r="A9" s="2">
        <v>4</v>
      </c>
      <c r="B9">
        <v>17</v>
      </c>
      <c r="C9">
        <v>16</v>
      </c>
      <c r="D9">
        <v>23</v>
      </c>
      <c r="E9">
        <v>24</v>
      </c>
      <c r="F9">
        <v>80</v>
      </c>
    </row>
    <row r="10" spans="1:6">
      <c r="A10" s="2">
        <v>5</v>
      </c>
      <c r="B10">
        <v>18</v>
      </c>
      <c r="C10">
        <v>13</v>
      </c>
      <c r="D10">
        <v>10</v>
      </c>
      <c r="E10">
        <v>21</v>
      </c>
      <c r="F10">
        <v>62</v>
      </c>
    </row>
    <row r="11" spans="1:6">
      <c r="A11" s="2">
        <v>6</v>
      </c>
      <c r="B11">
        <v>19</v>
      </c>
      <c r="C11">
        <v>16</v>
      </c>
      <c r="D11">
        <v>22</v>
      </c>
      <c r="E11">
        <v>23</v>
      </c>
      <c r="F11">
        <v>80</v>
      </c>
    </row>
    <row r="12" spans="1:6">
      <c r="A12" s="2">
        <v>7</v>
      </c>
      <c r="B12">
        <v>14</v>
      </c>
      <c r="C12">
        <v>16</v>
      </c>
      <c r="D12">
        <v>19</v>
      </c>
      <c r="E12">
        <v>20</v>
      </c>
      <c r="F12">
        <v>69</v>
      </c>
    </row>
    <row r="13" spans="1:6">
      <c r="A13" s="2">
        <v>8</v>
      </c>
      <c r="B13">
        <v>20</v>
      </c>
      <c r="C13">
        <v>10</v>
      </c>
      <c r="D13">
        <v>14</v>
      </c>
      <c r="E13">
        <v>18</v>
      </c>
      <c r="F13">
        <v>62</v>
      </c>
    </row>
    <row r="14" spans="1:6">
      <c r="A14" s="2">
        <v>9</v>
      </c>
      <c r="B14">
        <v>15</v>
      </c>
      <c r="C14">
        <v>18</v>
      </c>
      <c r="D14">
        <v>19</v>
      </c>
      <c r="E14">
        <v>14</v>
      </c>
      <c r="F14">
        <v>66</v>
      </c>
    </row>
    <row r="15" spans="1:6">
      <c r="A15" s="2">
        <v>10</v>
      </c>
      <c r="B15">
        <v>8</v>
      </c>
      <c r="C15">
        <v>10</v>
      </c>
      <c r="D15">
        <v>11</v>
      </c>
      <c r="E15">
        <v>9</v>
      </c>
      <c r="F15">
        <v>38</v>
      </c>
    </row>
    <row r="16" spans="1:6">
      <c r="A16" s="2" t="s">
        <v>7</v>
      </c>
      <c r="B16">
        <v>191</v>
      </c>
      <c r="C16">
        <v>153</v>
      </c>
      <c r="D16">
        <v>186</v>
      </c>
      <c r="E16">
        <v>199</v>
      </c>
      <c r="F16">
        <v>729</v>
      </c>
    </row>
    <row r="17" spans="1:1">
      <c r="A17"/>
    </row>
  </sheetData>
  <conditionalFormatting sqref="A3:F1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"/>
  <sheetViews>
    <sheetView showGridLines="0" tabSelected="1" zoomScale="55" zoomScaleNormal="55" topLeftCell="E1" workbookViewId="0">
      <selection activeCell="AL17" sqref="AL17"/>
    </sheetView>
  </sheetViews>
  <sheetFormatPr defaultColWidth="8.72727272727273" defaultRowHeight="14.5"/>
  <sheetData>
    <row r="1" ht="23.5" spans="1:2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</sheetData>
  <mergeCells count="1">
    <mergeCell ref="A1:T1"/>
  </mergeCells>
  <pageMargins left="0.75" right="0.75" top="1" bottom="1" header="0.5" footer="0.5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Conversion rates</vt:lpstr>
      <vt:lpstr>Average TAT</vt:lpstr>
      <vt:lpstr>Lead Breakdown</vt:lpstr>
      <vt:lpstr>Sheet3</vt:lpstr>
      <vt:lpstr>Main data</vt:lpstr>
      <vt:lpstr>Cancellation Patterns</vt:lpstr>
      <vt:lpstr>NPS Calculation</vt:lpstr>
      <vt:lpstr>Sheet2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Ayush Shrivastava</cp:lastModifiedBy>
  <dcterms:created xsi:type="dcterms:W3CDTF">2025-10-31T09:01:00Z</dcterms:created>
  <dcterms:modified xsi:type="dcterms:W3CDTF">2025-11-02T20:39:30Z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04398E74E2C44822BDA5220BC7119C8D_13</vt:lpwstr>
  </property>
  <property fmtid="{D5CDD505-2E9C-101B-9397-08002B2CF9AE}" pid="3" name="KSOProductBuildVer">
    <vt:lpwstr>1033-12.2.0.23131</vt:lpwstr>
  </property>
</Properties>
</file>